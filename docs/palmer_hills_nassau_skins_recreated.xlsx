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3f9e752b5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62fdc1420ee4769"/>
    <x:sheet xmlns:r="http://schemas.openxmlformats.org/officeDocument/2006/relationships" name="Scorecard" sheetId="2" r:id="R4f6b30ec9110486b"/>
    <x:sheet xmlns:r="http://schemas.openxmlformats.org/officeDocument/2006/relationships" name="Team Best 2" sheetId="3" r:id="R47fe27c5f9564bd4"/>
    <x:sheet xmlns:r="http://schemas.openxmlformats.org/officeDocument/2006/relationships" name="Nassau" sheetId="4" r:id="R9c34f10329f9480e"/>
    <x:sheet xmlns:r="http://schemas.openxmlformats.org/officeDocument/2006/relationships" name="Skins" sheetId="5" r:id="R47509ea6641b46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.00"/>
    <x:numFmt numFmtId="165" formatCode="$#,##0"/>
  </x:numFmts>
  <x:fonts count="7">
    <x:font>
      <x:sz val="11"/>
      <x:color theme="1"/>
      <x:name val="Calibri"/>
      <x:family val="2"/>
      <x:scheme val="minor"/>
    </x:font>
    <x:font>
      <x:b/>
      <x:sz val="16"/>
    </x:font>
    <x:font>
      <x:b/>
      <x:color rgb="00FFFFFF"/>
    </x:font>
    <x:font>
      <x:b/>
      <x:sz val="14"/>
    </x:font>
    <x:font>
      <x:b/>
    </x:font>
    <x:font>
      <x:b/>
      <x:color rgb="00808080"/>
    </x:font>
    <x:font>
      <x:b/>
      <x:sz val="9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BFBFBF"/>
      </x:left>
      <x:right style="thin">
        <x:color rgb="00BFBFBF"/>
      </x:right>
      <x:top style="thin">
        <x:color rgb="00BFBFBF"/>
      </x:top>
      <x:bottom style="thin">
        <x:color rgb="00BFBFB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/>
    <x:xf numFmtId="0" fontId="2" fillId="2" borderId="1" xfId="0" applyAlignment="1">
      <x:alignment horizontal="center" vertical="center" wrapText="1"/>
    </x:xf>
    <x:xf numFmtId="0" fontId="0" fillId="0" borderId="1" xfId="0"/>
    <x:xf numFmtId="0" fontId="0" fillId="0" borderId="1" xfId="0" applyAlignment="1">
      <x:alignment horizontal="center"/>
    </x:xf>
    <x:xf numFmtId="0" fontId="3" fillId="0" borderId="0" xfId="0"/>
    <x:xf numFmtId="0" fontId="4" fillId="0" borderId="0" xfId="0"/>
    <x:xf numFmtId="0" fontId="5" fillId="0" borderId="0" xfId="0"/>
    <x:xf numFmtId="0" fontId="6" fillId="3" borderId="1" xfId="0" applyAlignment="1">
      <x:alignment horizontal="center" vertical="center" wrapText="1"/>
    </x:xf>
    <x:xf numFmtId="0" fontId="4" fillId="3" borderId="1" xfId="0" applyAlignment="1">
      <x:alignment horizontal="center" vertical="center" wrapText="1"/>
    </x:xf>
    <x:xf numFmtId="0" fontId="4" fillId="0" borderId="1" xfId="0"/>
    <x:xf numFmtId="0" fontId="0" fillId="0" borderId="1" xfId="0"/>
    <x:xf numFmtId="164" fontId="0" fillId="0" borderId="1" xfId="0" applyAlignment="1">
      <x:alignment horizontal="center"/>
    </x:xf>
    <x:xf numFmtId="164" fontId="4" fillId="0" borderId="1" xfId="0"/>
    <x:xf numFmtId="165" fontId="0" fillId="0" borderId="0" xfId="0"/>
    <x:xf numFmtId="164" fontId="0" fillId="0" borderId="0" xfId="0"/>
    <x:xf numFmtId="0" fontId="0" fillId="0" borderId="1" xfId="0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928b962784f73" /><Relationship Type="http://schemas.openxmlformats.org/officeDocument/2006/relationships/theme" Target="/xl/theme/theme1.xml" Id="Rac1c66c9b3b24788" /><Relationship Type="http://schemas.openxmlformats.org/officeDocument/2006/relationships/sharedStrings" Target="/xl/sharedStrings.xml" Id="Rbb7e080599bc4edf" /><Relationship Type="http://schemas.openxmlformats.org/officeDocument/2006/relationships/worksheet" Target="/xl/worksheets/sheet1.xml" Id="Ra62fdc1420ee4769" /><Relationship Type="http://schemas.openxmlformats.org/officeDocument/2006/relationships/worksheet" Target="/xl/worksheets/sheet2.xml" Id="R4f6b30ec9110486b" /><Relationship Type="http://schemas.openxmlformats.org/officeDocument/2006/relationships/worksheet" Target="/xl/worksheets/sheet3.xml" Id="R47fe27c5f9564bd4" /><Relationship Type="http://schemas.openxmlformats.org/officeDocument/2006/relationships/worksheet" Target="/xl/worksheets/sheet4.xml" Id="R9c34f10329f9480e" /><Relationship Type="http://schemas.openxmlformats.org/officeDocument/2006/relationships/worksheet" Target="/xl/worksheets/sheet5.xml" Id="R47509ea6641b463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8" customWidth="1"/>
    <x:col min="3" max="3" width="2" customWidth="1"/>
    <x:col min="4" max="4" width="8" customWidth="1"/>
    <x:col min="5" max="5" width="6" customWidth="1"/>
    <x:col min="6" max="6" width="6" customWidth="1"/>
    <x:col min="7" max="7" width="10" customWidth="1"/>
  </x:cols>
  <x:sheetData>
    <x:row r="1">
      <x:c r="A1" s="1" t="inlineStr">
        <x:is>
          <x:t xml:space="preserve">Game Setup</x:t>
        </x:is>
      </x:c>
    </x:row>
    <x:row r="3">
      <x:c r="A3" t="inlineStr">
        <x:is>
          <x:t xml:space="preserve">Nassau ($ per segment)</x:t>
        </x:is>
      </x:c>
      <x:c r="B3" t="n">
        <x:v>15</x:v>
      </x:c>
      <x:c r="D3" t="inlineStr">
        <x:is>
          <x:t xml:space="preserve">Course</x:t>
        </x:is>
      </x:c>
      <x:c r="E3" t="inlineStr">
        <x:is>
          <x:t xml:space="preserve">Palmer Hills</x:t>
        </x:is>
      </x:c>
    </x:row>
    <x:row r="4">
      <x:c r="A4" t="inlineStr">
        <x:is>
          <x:t xml:space="preserve">Skins buy-in ($ per player)</x:t>
        </x:is>
      </x:c>
      <x:c r="B4" t="n">
        <x:v>10</x:v>
      </x:c>
      <x:c r="D4" t="inlineStr">
        <x:is>
          <x:t xml:space="preserve">Tees</x:t>
        </x:is>
      </x:c>
      <x:c r="E4" t="inlineStr">
        <x:is>
          <x:t xml:space="preserve">Black</x:t>
        </x:is>
      </x:c>
    </x:row>
    <x:row r="5">
      <x:c r="A5" t="inlineStr">
        <x:is>
          <x:t xml:space="preserve"># Players</x:t>
        </x:is>
      </x:c>
      <x:c r="B5" t="n">
        <x:v>12</x:v>
      </x:c>
    </x:row>
    <x:row r="6">
      <x:c r="A6" t="inlineStr">
        <x:is>
          <x:t xml:space="preserve"># Teams</x:t>
        </x:is>
      </x:c>
      <x:c r="B6" t="n">
        <x:v>3</x:v>
      </x:c>
    </x:row>
    <x:row r="8">
      <x:c r="A8" s="2" t="inlineStr">
        <x:is>
          <x:t xml:space="preserve">Team</x:t>
        </x:is>
      </x:c>
      <x:c r="B8" s="2" t="inlineStr">
        <x:is>
          <x:t xml:space="preserve">Player</x:t>
        </x:is>
      </x:c>
      <x:c r="D8" s="2" t="inlineStr">
        <x:is>
          <x:t xml:space="preserve">Hole</x:t>
        </x:is>
      </x:c>
      <x:c r="E8" s="2" t="inlineStr">
        <x:is>
          <x:t xml:space="preserve">Par</x:t>
        </x:is>
      </x:c>
      <x:c r="F8" s="2" t="inlineStr">
        <x:is>
          <x:t xml:space="preserve">HCP</x:t>
        </x:is>
      </x:c>
      <x:c r="G8" s="2" t="inlineStr">
        <x:is>
          <x:t xml:space="preserve">Yards</x:t>
        </x:is>
      </x:c>
    </x:row>
    <x:row r="9">
      <x:c r="A9" s="3" t="inlineStr">
        <x:is>
          <x:t xml:space="preserve">Team A</x:t>
        </x:is>
      </x:c>
      <x:c r="B9" s="3" t="inlineStr">
        <x:is>
          <x:t xml:space="preserve">Player A1</x:t>
        </x:is>
      </x:c>
      <x:c r="D9" s="4" t="n">
        <x:v>1</x:v>
      </x:c>
      <x:c r="E9" s="4" t="n">
        <x:v>4</x:v>
      </x:c>
      <x:c r="F9" s="4" t="n">
        <x:v>7</x:v>
      </x:c>
      <x:c r="G9" s="4" t="n">
        <x:v>410</x:v>
      </x:c>
    </x:row>
    <x:row r="10">
      <x:c r="A10" s="3" t="inlineStr">
        <x:is>
          <x:t xml:space="preserve">Team A</x:t>
        </x:is>
      </x:c>
      <x:c r="B10" s="3" t="inlineStr">
        <x:is>
          <x:t xml:space="preserve">Player A2</x:t>
        </x:is>
      </x:c>
      <x:c r="D10" s="4" t="n">
        <x:v>2</x:v>
      </x:c>
      <x:c r="E10" s="4" t="n">
        <x:v>4</x:v>
      </x:c>
      <x:c r="F10" s="4" t="n">
        <x:v>11</x:v>
      </x:c>
      <x:c r="G10" s="4" t="n">
        <x:v>380</x:v>
      </x:c>
    </x:row>
    <x:row r="11">
      <x:c r="A11" s="3" t="inlineStr">
        <x:is>
          <x:t xml:space="preserve">Team A</x:t>
        </x:is>
      </x:c>
      <x:c r="B11" s="3" t="inlineStr">
        <x:is>
          <x:t xml:space="preserve">Player A3</x:t>
        </x:is>
      </x:c>
      <x:c r="D11" s="4" t="n">
        <x:v>3</x:v>
      </x:c>
      <x:c r="E11" s="4" t="n">
        <x:v>3</x:v>
      </x:c>
      <x:c r="F11" s="4" t="n">
        <x:v>17</x:v>
      </x:c>
      <x:c r="G11" s="4" t="n">
        <x:v>185</x:v>
      </x:c>
    </x:row>
    <x:row r="12">
      <x:c r="A12" s="3" t="inlineStr">
        <x:is>
          <x:t xml:space="preserve">Team A</x:t>
        </x:is>
      </x:c>
      <x:c r="B12" s="3" t="inlineStr">
        <x:is>
          <x:t xml:space="preserve">Player A4</x:t>
        </x:is>
      </x:c>
      <x:c r="D12" s="4" t="n">
        <x:v>4</x:v>
      </x:c>
      <x:c r="E12" s="4" t="n">
        <x:v>5</x:v>
      </x:c>
      <x:c r="F12" s="4" t="n">
        <x:v>3</x:v>
      </x:c>
      <x:c r="G12" s="4" t="n">
        <x:v>520</x:v>
      </x:c>
    </x:row>
    <x:row r="13">
      <x:c r="A13" s="3" t="inlineStr">
        <x:is>
          <x:t xml:space="preserve">Team B</x:t>
        </x:is>
      </x:c>
      <x:c r="B13" s="3" t="inlineStr">
        <x:is>
          <x:t xml:space="preserve">Player B1</x:t>
        </x:is>
      </x:c>
      <x:c r="D13" s="4" t="n">
        <x:v>5</x:v>
      </x:c>
      <x:c r="E13" s="4" t="n">
        <x:v>4</x:v>
      </x:c>
      <x:c r="F13" s="4" t="n">
        <x:v>1</x:v>
      </x:c>
      <x:c r="G13" s="4" t="n">
        <x:v>440</x:v>
      </x:c>
    </x:row>
    <x:row r="14">
      <x:c r="A14" s="3" t="inlineStr">
        <x:is>
          <x:t xml:space="preserve">Team B</x:t>
        </x:is>
      </x:c>
      <x:c r="B14" s="3" t="inlineStr">
        <x:is>
          <x:t xml:space="preserve">Player B2</x:t>
        </x:is>
      </x:c>
      <x:c r="D14" s="4" t="n">
        <x:v>6</x:v>
      </x:c>
      <x:c r="E14" s="4" t="n">
        <x:v>4</x:v>
      </x:c>
      <x:c r="F14" s="4" t="n">
        <x:v>13</x:v>
      </x:c>
      <x:c r="G14" s="4" t="n">
        <x:v>365</x:v>
      </x:c>
    </x:row>
    <x:row r="15">
      <x:c r="A15" s="3" t="inlineStr">
        <x:is>
          <x:t xml:space="preserve">Team B</x:t>
        </x:is>
      </x:c>
      <x:c r="B15" s="3" t="inlineStr">
        <x:is>
          <x:t xml:space="preserve">Player B3</x:t>
        </x:is>
      </x:c>
      <x:c r="D15" s="4" t="n">
        <x:v>7</x:v>
      </x:c>
      <x:c r="E15" s="4" t="n">
        <x:v>3</x:v>
      </x:c>
      <x:c r="F15" s="4" t="n">
        <x:v>15</x:v>
      </x:c>
      <x:c r="G15" s="4" t="n">
        <x:v>170</x:v>
      </x:c>
    </x:row>
    <x:row r="16">
      <x:c r="A16" s="3" t="inlineStr">
        <x:is>
          <x:t xml:space="preserve">Team B</x:t>
        </x:is>
      </x:c>
      <x:c r="B16" s="3" t="inlineStr">
        <x:is>
          <x:t xml:space="preserve">Player B4</x:t>
        </x:is>
      </x:c>
      <x:c r="D16" s="4" t="n">
        <x:v>8</x:v>
      </x:c>
      <x:c r="E16" s="4" t="n">
        <x:v>4</x:v>
      </x:c>
      <x:c r="F16" s="4" t="n">
        <x:v>9</x:v>
      </x:c>
      <x:c r="G16" s="4" t="n">
        <x:v>405</x:v>
      </x:c>
    </x:row>
    <x:row r="17">
      <x:c r="A17" s="3" t="inlineStr">
        <x:is>
          <x:t xml:space="preserve">Team C</x:t>
        </x:is>
      </x:c>
      <x:c r="B17" s="3" t="inlineStr">
        <x:is>
          <x:t xml:space="preserve">Player C1</x:t>
        </x:is>
      </x:c>
      <x:c r="D17" s="4" t="n">
        <x:v>9</x:v>
      </x:c>
      <x:c r="E17" s="4" t="n">
        <x:v>5</x:v>
      </x:c>
      <x:c r="F17" s="4" t="n">
        <x:v>5</x:v>
      </x:c>
      <x:c r="G17" s="4" t="n">
        <x:v>545</x:v>
      </x:c>
    </x:row>
    <x:row r="18">
      <x:c r="A18" s="3" t="inlineStr">
        <x:is>
          <x:t xml:space="preserve">Team C</x:t>
        </x:is>
      </x:c>
      <x:c r="B18" s="3" t="inlineStr">
        <x:is>
          <x:t xml:space="preserve">Player C2</x:t>
        </x:is>
      </x:c>
      <x:c r="D18" s="4" t="n">
        <x:v>10</x:v>
      </x:c>
      <x:c r="E18" s="4" t="n">
        <x:v>4</x:v>
      </x:c>
      <x:c r="F18" s="4" t="n">
        <x:v>8</x:v>
      </x:c>
      <x:c r="G18" s="4" t="n">
        <x:v>395</x:v>
      </x:c>
    </x:row>
    <x:row r="19">
      <x:c r="A19" s="3" t="inlineStr">
        <x:is>
          <x:t xml:space="preserve">Team C</x:t>
        </x:is>
      </x:c>
      <x:c r="B19" s="3" t="inlineStr">
        <x:is>
          <x:t xml:space="preserve">Player C3</x:t>
        </x:is>
      </x:c>
      <x:c r="D19" s="4" t="n">
        <x:v>11</x:v>
      </x:c>
      <x:c r="E19" s="4" t="n">
        <x:v>5</x:v>
      </x:c>
      <x:c r="F19" s="4" t="n">
        <x:v>2</x:v>
      </x:c>
      <x:c r="G19" s="4" t="n">
        <x:v>530</x:v>
      </x:c>
    </x:row>
    <x:row r="20">
      <x:c r="A20" s="3" t="inlineStr">
        <x:is>
          <x:t xml:space="preserve">Team C</x:t>
        </x:is>
      </x:c>
      <x:c r="B20" s="3" t="inlineStr">
        <x:is>
          <x:t xml:space="preserve">Player C4</x:t>
        </x:is>
      </x:c>
      <x:c r="D20" s="4" t="n">
        <x:v>12</x:v>
      </x:c>
      <x:c r="E20" s="4" t="n">
        <x:v>3</x:v>
      </x:c>
      <x:c r="F20" s="4" t="n">
        <x:v>18</x:v>
      </x:c>
      <x:c r="G20" s="4" t="n">
        <x:v>180</x:v>
      </x:c>
    </x:row>
    <x:row r="21">
      <x:c r="D21" s="4" t="n">
        <x:v>13</x:v>
      </x:c>
      <x:c r="E21" s="4" t="n">
        <x:v>4</x:v>
      </x:c>
      <x:c r="F21" s="4" t="n">
        <x:v>10</x:v>
      </x:c>
      <x:c r="G21" s="4" t="n">
        <x:v>410</x:v>
      </x:c>
    </x:row>
    <x:row r="22">
      <x:c r="D22" s="4" t="n">
        <x:v>14</x:v>
      </x:c>
      <x:c r="E22" s="4" t="n">
        <x:v>4</x:v>
      </x:c>
      <x:c r="F22" s="4" t="n">
        <x:v>12</x:v>
      </x:c>
      <x:c r="G22" s="4" t="n">
        <x:v>360</x:v>
      </x:c>
    </x:row>
    <x:row r="23">
      <x:c r="D23" s="4" t="n">
        <x:v>15</x:v>
      </x:c>
      <x:c r="E23" s="4" t="n">
        <x:v>3</x:v>
      </x:c>
      <x:c r="F23" s="4" t="n">
        <x:v>16</x:v>
      </x:c>
      <x:c r="G23" s="4" t="n">
        <x:v>165</x:v>
      </x:c>
    </x:row>
    <x:row r="24">
      <x:c r="D24" s="4" t="n">
        <x:v>16</x:v>
      </x:c>
      <x:c r="E24" s="4" t="n">
        <x:v>4</x:v>
      </x:c>
      <x:c r="F24" s="4" t="n">
        <x:v>6</x:v>
      </x:c>
      <x:c r="G24" s="4" t="n">
        <x:v>425</x:v>
      </x:c>
    </x:row>
    <x:row r="25">
      <x:c r="D25" s="4" t="n">
        <x:v>17</x:v>
      </x:c>
      <x:c r="E25" s="4" t="n">
        <x:v>5</x:v>
      </x:c>
      <x:c r="F25" s="4" t="n">
        <x:v>4</x:v>
      </x:c>
      <x:c r="G25" s="4" t="n">
        <x:v>515</x:v>
      </x:c>
    </x:row>
    <x:row r="26">
      <x:c r="D26" s="4" t="n">
        <x:v>18</x:v>
      </x:c>
      <x:c r="E26" s="4" t="n">
        <x:v>4</x:v>
      </x:c>
      <x:c r="F26" s="4" t="n">
        <x:v>14</x:v>
      </x:c>
      <x:c r="G26" s="4" t="n">
        <x:v>390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5" customWidth="1"/>
    <x:col min="3" max="3" width="5" customWidth="1"/>
    <x:col min="4" max="4" width="7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</x:cols>
  <x:sheetData>
    <x:row r="1">
      <x:c r="A1" s="5" t="inlineStr">
        <x:is>
          <x:t xml:space="preserve">Scorecard (Gross) — Palmer Hills Black Tees</x:t>
        </x:is>
      </x:c>
    </x:row>
    <x:row r="3">
      <x:c r="A3" s="2" t="inlineStr">
        <x:is>
          <x:t xml:space="preserve">Hole</x:t>
        </x:is>
      </x:c>
      <x:c r="B3" s="2" t="inlineStr">
        <x:is>
          <x:t xml:space="preserve">Par</x:t>
        </x:is>
      </x:c>
      <x:c r="C3" s="2" t="inlineStr">
        <x:is>
          <x:t xml:space="preserve">HCP</x:t>
        </x:is>
      </x:c>
      <x:c r="D3" s="2" t="inlineStr">
        <x:is>
          <x:t xml:space="preserve">Yards</x:t>
        </x:is>
      </x:c>
      <x:c r="E3" s="2" t="inlineStr">
        <x:is>
          <x:t xml:space="preserve">Player A1</x:t>
        </x:is>
      </x:c>
      <x:c r="F3" s="2" t="inlineStr">
        <x:is>
          <x:t xml:space="preserve">Player A2</x:t>
        </x:is>
      </x:c>
      <x:c r="G3" s="2" t="inlineStr">
        <x:is>
          <x:t xml:space="preserve">Player A3</x:t>
        </x:is>
      </x:c>
      <x:c r="H3" s="2" t="inlineStr">
        <x:is>
          <x:t xml:space="preserve">Player A4</x:t>
        </x:is>
      </x:c>
      <x:c r="I3" s="2" t="inlineStr">
        <x:is>
          <x:t xml:space="preserve">Player B1</x:t>
        </x:is>
      </x:c>
      <x:c r="J3" s="2" t="inlineStr">
        <x:is>
          <x:t xml:space="preserve">Player B2</x:t>
        </x:is>
      </x:c>
      <x:c r="K3" s="2" t="inlineStr">
        <x:is>
          <x:t xml:space="preserve">Player B3</x:t>
        </x:is>
      </x:c>
      <x:c r="L3" s="2" t="inlineStr">
        <x:is>
          <x:t xml:space="preserve">Player B4</x:t>
        </x:is>
      </x:c>
      <x:c r="M3" s="2" t="inlineStr">
        <x:is>
          <x:t xml:space="preserve">Player C1</x:t>
        </x:is>
      </x:c>
      <x:c r="N3" s="2" t="inlineStr">
        <x:is>
          <x:t xml:space="preserve">Player C2</x:t>
        </x:is>
      </x:c>
      <x:c r="O3" s="2" t="inlineStr">
        <x:is>
          <x:t xml:space="preserve">Player C3</x:t>
        </x:is>
      </x:c>
      <x:c r="P3" s="2" t="inlineStr">
        <x:is>
          <x:t xml:space="preserve">Player C4</x:t>
        </x:is>
      </x:c>
    </x:row>
    <x:row r="4">
      <x:c r="A4" s="4" t="n">
        <x:v>1</x:v>
      </x:c>
      <x:c r="B4" s="4" t="n">
        <x:v>4</x:v>
      </x:c>
      <x:c r="C4" s="4" t="n">
        <x:v>7</x:v>
      </x:c>
      <x:c r="D4" s="4" t="n">
        <x:v>410</x:v>
      </x:c>
      <x:c r="E4" s="4" t="n">
        <x:v>4</x:v>
      </x:c>
      <x:c r="F4" s="4" t="n">
        <x:v>3</x:v>
      </x:c>
      <x:c r="G4" s="4" t="n">
        <x:v>4</x:v>
      </x:c>
      <x:c r="H4" s="4" t="n">
        <x:v>4</x:v>
      </x:c>
      <x:c r="I4" s="4" t="n">
        <x:v>4</x:v>
      </x:c>
      <x:c r="J4" s="4" t="n">
        <x:v>4</x:v>
      </x:c>
      <x:c r="K4" s="4" t="n">
        <x:v>4</x:v>
      </x:c>
      <x:c r="L4" s="4" t="n">
        <x:v>6</x:v>
      </x:c>
      <x:c r="M4" s="4" t="n">
        <x:v>4</x:v>
      </x:c>
      <x:c r="N4" s="4" t="n">
        <x:v>5</x:v>
      </x:c>
      <x:c r="O4" s="4" t="n">
        <x:v>3</x:v>
      </x:c>
      <x:c r="P4" s="4" t="n">
        <x:v>3</x:v>
      </x:c>
    </x:row>
    <x:row r="5">
      <x:c r="A5" s="4" t="n">
        <x:v>2</x:v>
      </x:c>
      <x:c r="B5" s="4" t="n">
        <x:v>4</x:v>
      </x:c>
      <x:c r="C5" s="4" t="n">
        <x:v>11</x:v>
      </x:c>
      <x:c r="D5" s="4" t="n">
        <x:v>380</x:v>
      </x:c>
      <x:c r="E5" s="4" t="n">
        <x:v>4</x:v>
      </x:c>
      <x:c r="F5" s="4" t="n">
        <x:v>4</x:v>
      </x:c>
      <x:c r="G5" s="4" t="n">
        <x:v>4</x:v>
      </x:c>
      <x:c r="H5" s="4" t="n">
        <x:v>6</x:v>
      </x:c>
      <x:c r="I5" s="4" t="n">
        <x:v>3</x:v>
      </x:c>
      <x:c r="J5" s="4" t="n">
        <x:v>6</x:v>
      </x:c>
      <x:c r="K5" s="4" t="n">
        <x:v>4</x:v>
      </x:c>
      <x:c r="L5" s="4" t="n">
        <x:v>6</x:v>
      </x:c>
      <x:c r="M5" s="4" t="n">
        <x:v>5</x:v>
      </x:c>
      <x:c r="N5" s="4" t="n">
        <x:v>4</x:v>
      </x:c>
      <x:c r="O5" s="4" t="n">
        <x:v>6</x:v>
      </x:c>
      <x:c r="P5" s="4" t="n">
        <x:v>4</x:v>
      </x:c>
    </x:row>
    <x:row r="6">
      <x:c r="A6" s="4" t="n">
        <x:v>3</x:v>
      </x:c>
      <x:c r="B6" s="4" t="n">
        <x:v>3</x:v>
      </x:c>
      <x:c r="C6" s="4" t="n">
        <x:v>17</x:v>
      </x:c>
      <x:c r="D6" s="4" t="n">
        <x:v>185</x:v>
      </x:c>
      <x:c r="E6" s="4" t="n">
        <x:v>5</x:v>
      </x:c>
      <x:c r="F6" s="4" t="n">
        <x:v>5</x:v>
      </x:c>
      <x:c r="G6" s="4" t="n">
        <x:v>2</x:v>
      </x:c>
      <x:c r="H6" s="4" t="n">
        <x:v>5</x:v>
      </x:c>
      <x:c r="I6" s="4" t="n">
        <x:v>5</x:v>
      </x:c>
      <x:c r="J6" s="4" t="n">
        <x:v>3</x:v>
      </x:c>
      <x:c r="K6" s="4" t="n">
        <x:v>4</x:v>
      </x:c>
      <x:c r="L6" s="4" t="n">
        <x:v>3</x:v>
      </x:c>
      <x:c r="M6" s="4" t="n">
        <x:v>3</x:v>
      </x:c>
      <x:c r="N6" s="4" t="n">
        <x:v>3</x:v>
      </x:c>
      <x:c r="O6" s="4" t="n">
        <x:v>3</x:v>
      </x:c>
      <x:c r="P6" s="4" t="n">
        <x:v>3</x:v>
      </x:c>
    </x:row>
    <x:row r="7">
      <x:c r="A7" s="4" t="n">
        <x:v>4</x:v>
      </x:c>
      <x:c r="B7" s="4" t="n">
        <x:v>5</x:v>
      </x:c>
      <x:c r="C7" s="4" t="n">
        <x:v>3</x:v>
      </x:c>
      <x:c r="D7" s="4" t="n">
        <x:v>520</x:v>
      </x:c>
      <x:c r="E7" s="4" t="n">
        <x:v>6</x:v>
      </x:c>
      <x:c r="F7" s="4" t="n">
        <x:v>5</x:v>
      </x:c>
      <x:c r="G7" s="4" t="n">
        <x:v>5</x:v>
      </x:c>
      <x:c r="H7" s="4" t="n">
        <x:v>7</x:v>
      </x:c>
      <x:c r="I7" s="4" t="n">
        <x:v>5</x:v>
      </x:c>
      <x:c r="J7" s="4" t="n">
        <x:v>6</x:v>
      </x:c>
      <x:c r="K7" s="4" t="n">
        <x:v>6</x:v>
      </x:c>
      <x:c r="L7" s="4" t="n">
        <x:v>6</x:v>
      </x:c>
      <x:c r="M7" s="4" t="n">
        <x:v>4</x:v>
      </x:c>
      <x:c r="N7" s="4" t="n">
        <x:v>7</x:v>
      </x:c>
      <x:c r="O7" s="4" t="n">
        <x:v>8</x:v>
      </x:c>
      <x:c r="P7" s="4" t="n">
        <x:v>5</x:v>
      </x:c>
    </x:row>
    <x:row r="8">
      <x:c r="A8" s="4" t="n">
        <x:v>5</x:v>
      </x:c>
      <x:c r="B8" s="4" t="n">
        <x:v>4</x:v>
      </x:c>
      <x:c r="C8" s="4" t="n">
        <x:v>1</x:v>
      </x:c>
      <x:c r="D8" s="4" t="n">
        <x:v>440</x:v>
      </x:c>
      <x:c r="E8" s="4" t="n">
        <x:v>5</x:v>
      </x:c>
      <x:c r="F8" s="4" t="n">
        <x:v>4</x:v>
      </x:c>
      <x:c r="G8" s="4" t="n">
        <x:v>6</x:v>
      </x:c>
      <x:c r="H8" s="4" t="n">
        <x:v>4</x:v>
      </x:c>
      <x:c r="I8" s="4" t="n">
        <x:v>5</x:v>
      </x:c>
      <x:c r="J8" s="4" t="n">
        <x:v>4</x:v>
      </x:c>
      <x:c r="K8" s="4" t="n">
        <x:v>4</x:v>
      </x:c>
      <x:c r="L8" s="4" t="n">
        <x:v>3</x:v>
      </x:c>
      <x:c r="M8" s="4" t="n">
        <x:v>4</x:v>
      </x:c>
      <x:c r="N8" s="4" t="n">
        <x:v>4</x:v>
      </x:c>
      <x:c r="O8" s="4" t="n">
        <x:v>4</x:v>
      </x:c>
      <x:c r="P8" s="4" t="n">
        <x:v>4</x:v>
      </x:c>
    </x:row>
    <x:row r="9">
      <x:c r="A9" s="4" t="n">
        <x:v>6</x:v>
      </x:c>
      <x:c r="B9" s="4" t="n">
        <x:v>4</x:v>
      </x:c>
      <x:c r="C9" s="4" t="n">
        <x:v>13</x:v>
      </x:c>
      <x:c r="D9" s="4" t="n">
        <x:v>365</x:v>
      </x:c>
      <x:c r="E9" s="4" t="n">
        <x:v>4</x:v>
      </x:c>
      <x:c r="F9" s="4" t="n">
        <x:v>5</x:v>
      </x:c>
      <x:c r="G9" s="4" t="n">
        <x:v>4</x:v>
      </x:c>
      <x:c r="H9" s="4" t="n">
        <x:v>6</x:v>
      </x:c>
      <x:c r="I9" s="4" t="n">
        <x:v>5</x:v>
      </x:c>
      <x:c r="J9" s="4" t="n">
        <x:v>4</x:v>
      </x:c>
      <x:c r="K9" s="4" t="n">
        <x:v>5</x:v>
      </x:c>
      <x:c r="L9" s="4" t="n">
        <x:v>5</x:v>
      </x:c>
      <x:c r="M9" s="4" t="n">
        <x:v>4</x:v>
      </x:c>
      <x:c r="N9" s="4" t="n">
        <x:v>4</x:v>
      </x:c>
      <x:c r="O9" s="4" t="n">
        <x:v>4</x:v>
      </x:c>
      <x:c r="P9" s="4" t="n">
        <x:v>4</x:v>
      </x:c>
    </x:row>
    <x:row r="10">
      <x:c r="A10" s="4" t="n">
        <x:v>7</x:v>
      </x:c>
      <x:c r="B10" s="4" t="n">
        <x:v>3</x:v>
      </x:c>
      <x:c r="C10" s="4" t="n">
        <x:v>15</x:v>
      </x:c>
      <x:c r="D10" s="4" t="n">
        <x:v>170</x:v>
      </x:c>
      <x:c r="E10" s="4" t="n">
        <x:v>4</x:v>
      </x:c>
      <x:c r="F10" s="4" t="n">
        <x:v>4</x:v>
      </x:c>
      <x:c r="G10" s="4" t="n">
        <x:v>3</x:v>
      </x:c>
      <x:c r="H10" s="4" t="n">
        <x:v>3</x:v>
      </x:c>
      <x:c r="I10" s="4" t="n">
        <x:v>3</x:v>
      </x:c>
      <x:c r="J10" s="4" t="n">
        <x:v>3</x:v>
      </x:c>
      <x:c r="K10" s="4" t="n">
        <x:v>3</x:v>
      </x:c>
      <x:c r="L10" s="4" t="n">
        <x:v>4</x:v>
      </x:c>
      <x:c r="M10" s="4" t="n">
        <x:v>4</x:v>
      </x:c>
      <x:c r="N10" s="4" t="n">
        <x:v>4</x:v>
      </x:c>
      <x:c r="O10" s="4" t="n">
        <x:v>3</x:v>
      </x:c>
      <x:c r="P10" s="4" t="n">
        <x:v>4</x:v>
      </x:c>
    </x:row>
    <x:row r="11">
      <x:c r="A11" s="4" t="n">
        <x:v>8</x:v>
      </x:c>
      <x:c r="B11" s="4" t="n">
        <x:v>4</x:v>
      </x:c>
      <x:c r="C11" s="4" t="n">
        <x:v>9</x:v>
      </x:c>
      <x:c r="D11" s="4" t="n">
        <x:v>405</x:v>
      </x:c>
      <x:c r="E11" s="4" t="n">
        <x:v>5</x:v>
      </x:c>
      <x:c r="F11" s="4" t="n">
        <x:v>3</x:v>
      </x:c>
      <x:c r="G11" s="4" t="n">
        <x:v>4</x:v>
      </x:c>
      <x:c r="H11" s="4" t="n">
        <x:v>3</x:v>
      </x:c>
      <x:c r="I11" s="4" t="n">
        <x:v>5</x:v>
      </x:c>
      <x:c r="J11" s="4" t="n">
        <x:v>5</x:v>
      </x:c>
      <x:c r="K11" s="4" t="n">
        <x:v>4</x:v>
      </x:c>
      <x:c r="L11" s="4" t="n">
        <x:v>4</x:v>
      </x:c>
      <x:c r="M11" s="4" t="n">
        <x:v>4</x:v>
      </x:c>
      <x:c r="N11" s="4" t="n">
        <x:v>5</x:v>
      </x:c>
      <x:c r="O11" s="4" t="n">
        <x:v>4</x:v>
      </x:c>
      <x:c r="P11" s="4" t="n">
        <x:v>6</x:v>
      </x:c>
    </x:row>
    <x:row r="12">
      <x:c r="A12" s="4" t="n">
        <x:v>9</x:v>
      </x:c>
      <x:c r="B12" s="4" t="n">
        <x:v>5</x:v>
      </x:c>
      <x:c r="C12" s="4" t="n">
        <x:v>5</x:v>
      </x:c>
      <x:c r="D12" s="4" t="n">
        <x:v>545</x:v>
      </x:c>
      <x:c r="E12" s="4" t="n">
        <x:v>7</x:v>
      </x:c>
      <x:c r="F12" s="4" t="n">
        <x:v>7</x:v>
      </x:c>
      <x:c r="G12" s="4" t="n">
        <x:v>5</x:v>
      </x:c>
      <x:c r="H12" s="4" t="n">
        <x:v>6</x:v>
      </x:c>
      <x:c r="I12" s="4" t="n">
        <x:v>5</x:v>
      </x:c>
      <x:c r="J12" s="4" t="n">
        <x:v>5</x:v>
      </x:c>
      <x:c r="K12" s="4" t="n">
        <x:v>8</x:v>
      </x:c>
      <x:c r="L12" s="4" t="n">
        <x:v>8</x:v>
      </x:c>
      <x:c r="M12" s="4" t="n">
        <x:v>6</x:v>
      </x:c>
      <x:c r="N12" s="4" t="n">
        <x:v>7</x:v>
      </x:c>
      <x:c r="O12" s="4" t="n">
        <x:v>7</x:v>
      </x:c>
      <x:c r="P12" s="4" t="n">
        <x:v>6</x:v>
      </x:c>
    </x:row>
    <x:row r="13">
      <x:c r="A13" s="4" t="n">
        <x:v>10</x:v>
      </x:c>
      <x:c r="B13" s="4" t="n">
        <x:v>4</x:v>
      </x:c>
      <x:c r="C13" s="4" t="n">
        <x:v>8</x:v>
      </x:c>
      <x:c r="D13" s="4" t="n">
        <x:v>395</x:v>
      </x:c>
      <x:c r="E13" s="4" t="n">
        <x:v>4</x:v>
      </x:c>
      <x:c r="F13" s="4" t="n">
        <x:v>4</x:v>
      </x:c>
      <x:c r="G13" s="4" t="n">
        <x:v>6</x:v>
      </x:c>
      <x:c r="H13" s="4" t="n">
        <x:v>6</x:v>
      </x:c>
      <x:c r="I13" s="4" t="n">
        <x:v>4</x:v>
      </x:c>
      <x:c r="J13" s="4" t="n">
        <x:v>3</x:v>
      </x:c>
      <x:c r="K13" s="4" t="n">
        <x:v>4</x:v>
      </x:c>
      <x:c r="L13" s="4" t="n">
        <x:v>4</x:v>
      </x:c>
      <x:c r="M13" s="4" t="n">
        <x:v>4</x:v>
      </x:c>
      <x:c r="N13" s="4" t="n">
        <x:v>5</x:v>
      </x:c>
      <x:c r="O13" s="4" t="n">
        <x:v>4</x:v>
      </x:c>
      <x:c r="P13" s="4" t="n">
        <x:v>5</x:v>
      </x:c>
    </x:row>
    <x:row r="14">
      <x:c r="A14" s="4" t="n">
        <x:v>11</x:v>
      </x:c>
      <x:c r="B14" s="4" t="n">
        <x:v>5</x:v>
      </x:c>
      <x:c r="C14" s="4" t="n">
        <x:v>2</x:v>
      </x:c>
      <x:c r="D14" s="4" t="n">
        <x:v>530</x:v>
      </x:c>
      <x:c r="E14" s="4" t="n">
        <x:v>7</x:v>
      </x:c>
      <x:c r="F14" s="4" t="n">
        <x:v>7</x:v>
      </x:c>
      <x:c r="G14" s="4" t="n">
        <x:v>8</x:v>
      </x:c>
      <x:c r="H14" s="4" t="n">
        <x:v>6</x:v>
      </x:c>
      <x:c r="I14" s="4" t="n">
        <x:v>8</x:v>
      </x:c>
      <x:c r="J14" s="4" t="n">
        <x:v>4</x:v>
      </x:c>
      <x:c r="K14" s="4" t="n">
        <x:v>5</x:v>
      </x:c>
      <x:c r="L14" s="4" t="n">
        <x:v>8</x:v>
      </x:c>
      <x:c r="M14" s="4" t="n">
        <x:v>6</x:v>
      </x:c>
      <x:c r="N14" s="4" t="n">
        <x:v>6</x:v>
      </x:c>
      <x:c r="O14" s="4" t="n">
        <x:v>5</x:v>
      </x:c>
      <x:c r="P14" s="4" t="n">
        <x:v>6</x:v>
      </x:c>
    </x:row>
    <x:row r="15">
      <x:c r="A15" s="4" t="n">
        <x:v>12</x:v>
      </x:c>
      <x:c r="B15" s="4" t="n">
        <x:v>3</x:v>
      </x:c>
      <x:c r="C15" s="4" t="n">
        <x:v>18</x:v>
      </x:c>
      <x:c r="D15" s="4" t="n">
        <x:v>180</x:v>
      </x:c>
      <x:c r="E15" s="4" t="n">
        <x:v>3</x:v>
      </x:c>
      <x:c r="F15" s="4" t="n">
        <x:v>3</x:v>
      </x:c>
      <x:c r="G15" s="4" t="n">
        <x:v>3</x:v>
      </x:c>
      <x:c r="H15" s="4" t="n">
        <x:v>2</x:v>
      </x:c>
      <x:c r="I15" s="4" t="n">
        <x:v>4</x:v>
      </x:c>
      <x:c r="J15" s="4" t="n">
        <x:v>4</x:v>
      </x:c>
      <x:c r="K15" s="4" t="n">
        <x:v>3</x:v>
      </x:c>
      <x:c r="L15" s="4" t="n">
        <x:v>4</x:v>
      </x:c>
      <x:c r="M15" s="4" t="n">
        <x:v>5</x:v>
      </x:c>
      <x:c r="N15" s="4" t="n">
        <x:v>3</x:v>
      </x:c>
      <x:c r="O15" s="4" t="n">
        <x:v>4</x:v>
      </x:c>
      <x:c r="P15" s="4" t="n">
        <x:v>2</x:v>
      </x:c>
    </x:row>
    <x:row r="16">
      <x:c r="A16" s="4" t="n">
        <x:v>13</x:v>
      </x:c>
      <x:c r="B16" s="4" t="n">
        <x:v>4</x:v>
      </x:c>
      <x:c r="C16" s="4" t="n">
        <x:v>10</x:v>
      </x:c>
      <x:c r="D16" s="4" t="n">
        <x:v>410</x:v>
      </x:c>
      <x:c r="E16" s="4" t="n">
        <x:v>4</x:v>
      </x:c>
      <x:c r="F16" s="4" t="n">
        <x:v>6</x:v>
      </x:c>
      <x:c r="G16" s="4" t="n">
        <x:v>4</x:v>
      </x:c>
      <x:c r="H16" s="4" t="n">
        <x:v>4</x:v>
      </x:c>
      <x:c r="I16" s="4" t="n">
        <x:v>5</x:v>
      </x:c>
      <x:c r="J16" s="4" t="n">
        <x:v>4</x:v>
      </x:c>
      <x:c r="K16" s="4" t="n">
        <x:v>6</x:v>
      </x:c>
      <x:c r="L16" s="4" t="n">
        <x:v>6</x:v>
      </x:c>
      <x:c r="M16" s="4" t="n">
        <x:v>3</x:v>
      </x:c>
      <x:c r="N16" s="4" t="n">
        <x:v>5</x:v>
      </x:c>
      <x:c r="O16" s="4" t="n">
        <x:v>6</x:v>
      </x:c>
      <x:c r="P16" s="4" t="n">
        <x:v>3</x:v>
      </x:c>
    </x:row>
    <x:row r="17">
      <x:c r="A17" s="4" t="n">
        <x:v>14</x:v>
      </x:c>
      <x:c r="B17" s="4" t="n">
        <x:v>4</x:v>
      </x:c>
      <x:c r="C17" s="4" t="n">
        <x:v>12</x:v>
      </x:c>
      <x:c r="D17" s="4" t="n">
        <x:v>360</x:v>
      </x:c>
      <x:c r="E17" s="4" t="n">
        <x:v>4</x:v>
      </x:c>
      <x:c r="F17" s="4" t="n">
        <x:v>5</x:v>
      </x:c>
      <x:c r="G17" s="4" t="n">
        <x:v>4</x:v>
      </x:c>
      <x:c r="H17" s="4" t="n">
        <x:v>4</x:v>
      </x:c>
      <x:c r="I17" s="4" t="n">
        <x:v>3</x:v>
      </x:c>
      <x:c r="J17" s="4" t="n">
        <x:v>4</x:v>
      </x:c>
      <x:c r="K17" s="4" t="n">
        <x:v>4</x:v>
      </x:c>
      <x:c r="L17" s="4" t="n">
        <x:v>4</x:v>
      </x:c>
      <x:c r="M17" s="4" t="n">
        <x:v>6</x:v>
      </x:c>
      <x:c r="N17" s="4" t="n">
        <x:v>4</x:v>
      </x:c>
      <x:c r="O17" s="4" t="n">
        <x:v>6</x:v>
      </x:c>
      <x:c r="P17" s="4" t="n">
        <x:v>4</x:v>
      </x:c>
    </x:row>
    <x:row r="18">
      <x:c r="A18" s="4" t="n">
        <x:v>15</x:v>
      </x:c>
      <x:c r="B18" s="4" t="n">
        <x:v>3</x:v>
      </x:c>
      <x:c r="C18" s="4" t="n">
        <x:v>16</x:v>
      </x:c>
      <x:c r="D18" s="4" t="n">
        <x:v>165</x:v>
      </x:c>
      <x:c r="E18" s="4" t="n">
        <x:v>3</x:v>
      </x:c>
      <x:c r="F18" s="4" t="n">
        <x:v>4</x:v>
      </x:c>
      <x:c r="G18" s="4" t="n">
        <x:v>3</x:v>
      </x:c>
      <x:c r="H18" s="4" t="n">
        <x:v>4</x:v>
      </x:c>
      <x:c r="I18" s="4" t="n">
        <x:v>3</x:v>
      </x:c>
      <x:c r="J18" s="4" t="n">
        <x:v>3</x:v>
      </x:c>
      <x:c r="K18" s="4" t="n">
        <x:v>4</x:v>
      </x:c>
      <x:c r="L18" s="4" t="n">
        <x:v>5</x:v>
      </x:c>
      <x:c r="M18" s="4" t="n">
        <x:v>4</x:v>
      </x:c>
      <x:c r="N18" s="4" t="n">
        <x:v>3</x:v>
      </x:c>
      <x:c r="O18" s="4" t="n">
        <x:v>3</x:v>
      </x:c>
      <x:c r="P18" s="4" t="n">
        <x:v>4</x:v>
      </x:c>
    </x:row>
    <x:row r="19">
      <x:c r="A19" s="4" t="n">
        <x:v>16</x:v>
      </x:c>
      <x:c r="B19" s="4" t="n">
        <x:v>4</x:v>
      </x:c>
      <x:c r="C19" s="4" t="n">
        <x:v>6</x:v>
      </x:c>
      <x:c r="D19" s="4" t="n">
        <x:v>425</x:v>
      </x:c>
      <x:c r="E19" s="4" t="n">
        <x:v>4</x:v>
      </x:c>
      <x:c r="F19" s="4" t="n">
        <x:v>4</x:v>
      </x:c>
      <x:c r="G19" s="4" t="n">
        <x:v>5</x:v>
      </x:c>
      <x:c r="H19" s="4" t="n">
        <x:v>5</x:v>
      </x:c>
      <x:c r="I19" s="4" t="n">
        <x:v>6</x:v>
      </x:c>
      <x:c r="J19" s="4" t="n">
        <x:v>6</x:v>
      </x:c>
      <x:c r="K19" s="4" t="n">
        <x:v>6</x:v>
      </x:c>
      <x:c r="L19" s="4" t="n">
        <x:v>4</x:v>
      </x:c>
      <x:c r="M19" s="4" t="n">
        <x:v>4</x:v>
      </x:c>
      <x:c r="N19" s="4" t="n">
        <x:v>4</x:v>
      </x:c>
      <x:c r="O19" s="4" t="n">
        <x:v>4</x:v>
      </x:c>
      <x:c r="P19" s="4" t="n">
        <x:v>5</x:v>
      </x:c>
    </x:row>
    <x:row r="20">
      <x:c r="A20" s="4" t="n">
        <x:v>17</x:v>
      </x:c>
      <x:c r="B20" s="4" t="n">
        <x:v>5</x:v>
      </x:c>
      <x:c r="C20" s="4" t="n">
        <x:v>4</x:v>
      </x:c>
      <x:c r="D20" s="4" t="n">
        <x:v>515</x:v>
      </x:c>
      <x:c r="E20" s="4" t="n">
        <x:v>4</x:v>
      </x:c>
      <x:c r="F20" s="4" t="n">
        <x:v>8</x:v>
      </x:c>
      <x:c r="G20" s="4" t="n">
        <x:v>5</x:v>
      </x:c>
      <x:c r="H20" s="4" t="n">
        <x:v>5</x:v>
      </x:c>
      <x:c r="I20" s="4" t="n">
        <x:v>4</x:v>
      </x:c>
      <x:c r="J20" s="4" t="n">
        <x:v>5</x:v>
      </x:c>
      <x:c r="K20" s="4" t="n">
        <x:v>4</x:v>
      </x:c>
      <x:c r="L20" s="4" t="n">
        <x:v>5</x:v>
      </x:c>
      <x:c r="M20" s="4" t="n">
        <x:v>5</x:v>
      </x:c>
      <x:c r="N20" s="4" t="n">
        <x:v>4</x:v>
      </x:c>
      <x:c r="O20" s="4" t="n">
        <x:v>6</x:v>
      </x:c>
      <x:c r="P20" s="4" t="n">
        <x:v>5</x:v>
      </x:c>
    </x:row>
    <x:row r="21">
      <x:c r="A21" s="4" t="n">
        <x:v>18</x:v>
      </x:c>
      <x:c r="B21" s="4" t="n">
        <x:v>4</x:v>
      </x:c>
      <x:c r="C21" s="4" t="n">
        <x:v>14</x:v>
      </x:c>
      <x:c r="D21" s="4" t="n">
        <x:v>390</x:v>
      </x:c>
      <x:c r="E21" s="4" t="n">
        <x:v>6</x:v>
      </x:c>
      <x:c r="F21" s="4" t="n">
        <x:v>4</x:v>
      </x:c>
      <x:c r="G21" s="4" t="n">
        <x:v>4</x:v>
      </x:c>
      <x:c r="H21" s="4" t="n">
        <x:v>6</x:v>
      </x:c>
      <x:c r="I21" s="4" t="n">
        <x:v>4</x:v>
      </x:c>
      <x:c r="J21" s="4" t="n">
        <x:v>6</x:v>
      </x:c>
      <x:c r="K21" s="4" t="n">
        <x:v>4</x:v>
      </x:c>
      <x:c r="L21" s="4" t="n">
        <x:v>6</x:v>
      </x:c>
      <x:c r="M21" s="4" t="n">
        <x:v>4</x:v>
      </x:c>
      <x:c r="N21" s="4" t="n">
        <x:v>6</x:v>
      </x:c>
      <x:c r="O21" s="4" t="n">
        <x:v>5</x:v>
      </x:c>
      <x:c r="P21" s="4" t="n">
        <x:v>4</x:v>
      </x:c>
    </x:row>
    <x:row r="23">
      <x:c r="A23" s="6" t="inlineStr">
        <x:is>
          <x:t xml:space="preserve">Player Totals</x:t>
        </x:is>
      </x:c>
    </x:row>
    <x:row r="24">
      <x:c r="A24" s="2" t="inlineStr">
        <x:is>
          <x:t xml:space="preserve">Player</x:t>
        </x:is>
      </x:c>
      <x:c r="B24" s="2" t="inlineStr">
        <x:is>
          <x:t xml:space="preserve">OUT</x:t>
        </x:is>
      </x:c>
      <x:c r="C24" s="2" t="inlineStr">
        <x:is>
          <x:t xml:space="preserve">IN</x:t>
        </x:is>
      </x:c>
      <x:c r="D24" s="2" t="inlineStr">
        <x:is>
          <x:t xml:space="preserve">TOTAL</x:t>
        </x:is>
      </x:c>
      <x:c r="E24" s="2" t="inlineStr">
        <x:is>
          <x:t xml:space="preserve">To Par</x:t>
        </x:is>
      </x:c>
    </x:row>
    <x:row r="25">
      <x:c r="A25" s="3" t="inlineStr">
        <x:is>
          <x:t xml:space="preserve">Player A1</x:t>
        </x:is>
      </x:c>
      <x:c r="B25" s="4">
        <x:f>SUM(E4:E12)</x:f>
        <x:v>44</x:v>
      </x:c>
      <x:c r="C25" s="4">
        <x:f>SUM(E13:E21)</x:f>
        <x:v>39</x:v>
      </x:c>
      <x:c r="D25" s="4">
        <x:f>B25+C25</x:f>
        <x:v>83</x:v>
      </x:c>
      <x:c r="E25" s="4">
        <x:f>D25-72</x:f>
        <x:v>11</x:v>
      </x:c>
    </x:row>
    <x:row r="26">
      <x:c r="A26" s="3" t="inlineStr">
        <x:is>
          <x:t xml:space="preserve">Player A2</x:t>
        </x:is>
      </x:c>
      <x:c r="B26" s="4">
        <x:f>SUM(F4:F12)</x:f>
        <x:v>40</x:v>
      </x:c>
      <x:c r="C26" s="4">
        <x:f>SUM(F13:F21)</x:f>
        <x:v>45</x:v>
      </x:c>
      <x:c r="D26" s="4">
        <x:f>B26+C26</x:f>
        <x:v>85</x:v>
      </x:c>
      <x:c r="E26" s="4">
        <x:f>D26-72</x:f>
        <x:v>13</x:v>
      </x:c>
    </x:row>
    <x:row r="27">
      <x:c r="A27" s="3" t="inlineStr">
        <x:is>
          <x:t xml:space="preserve">Player A3</x:t>
        </x:is>
      </x:c>
      <x:c r="B27" s="4">
        <x:f>SUM(G4:G12)</x:f>
        <x:v>37</x:v>
      </x:c>
      <x:c r="C27" s="4">
        <x:f>SUM(G13:G21)</x:f>
        <x:v>42</x:v>
      </x:c>
      <x:c r="D27" s="4">
        <x:f>B27+C27</x:f>
        <x:v>79</x:v>
      </x:c>
      <x:c r="E27" s="4">
        <x:f>D27-72</x:f>
        <x:v>7</x:v>
      </x:c>
    </x:row>
    <x:row r="28">
      <x:c r="A28" s="3" t="inlineStr">
        <x:is>
          <x:t xml:space="preserve">Player A4</x:t>
        </x:is>
      </x:c>
      <x:c r="B28" s="4">
        <x:f>SUM(H4:H12)</x:f>
        <x:v>44</x:v>
      </x:c>
      <x:c r="C28" s="4">
        <x:f>SUM(H13:H21)</x:f>
        <x:v>42</x:v>
      </x:c>
      <x:c r="D28" s="4">
        <x:f>B28+C28</x:f>
        <x:v>86</x:v>
      </x:c>
      <x:c r="E28" s="4">
        <x:f>D28-72</x:f>
        <x:v>14</x:v>
      </x:c>
    </x:row>
    <x:row r="29">
      <x:c r="A29" s="3" t="inlineStr">
        <x:is>
          <x:t xml:space="preserve">Player B1</x:t>
        </x:is>
      </x:c>
      <x:c r="B29" s="4">
        <x:f>SUM(I4:I12)</x:f>
        <x:v>40</x:v>
      </x:c>
      <x:c r="C29" s="4">
        <x:f>SUM(I13:I21)</x:f>
        <x:v>41</x:v>
      </x:c>
      <x:c r="D29" s="4">
        <x:f>B29+C29</x:f>
        <x:v>81</x:v>
      </x:c>
      <x:c r="E29" s="4">
        <x:f>D29-72</x:f>
        <x:v>9</x:v>
      </x:c>
    </x:row>
    <x:row r="30">
      <x:c r="A30" s="3" t="inlineStr">
        <x:is>
          <x:t xml:space="preserve">Player B2</x:t>
        </x:is>
      </x:c>
      <x:c r="B30" s="4">
        <x:f>SUM(J4:J12)</x:f>
        <x:v>40</x:v>
      </x:c>
      <x:c r="C30" s="4">
        <x:f>SUM(J13:J21)</x:f>
        <x:v>39</x:v>
      </x:c>
      <x:c r="D30" s="4">
        <x:f>B30+C30</x:f>
        <x:v>79</x:v>
      </x:c>
      <x:c r="E30" s="4">
        <x:f>D30-72</x:f>
        <x:v>7</x:v>
      </x:c>
    </x:row>
    <x:row r="31">
      <x:c r="A31" s="3" t="inlineStr">
        <x:is>
          <x:t xml:space="preserve">Player B3</x:t>
        </x:is>
      </x:c>
      <x:c r="B31" s="4">
        <x:f>SUM(K4:K12)</x:f>
        <x:v>42</x:v>
      </x:c>
      <x:c r="C31" s="4">
        <x:f>SUM(K13:K21)</x:f>
        <x:v>40</x:v>
      </x:c>
      <x:c r="D31" s="4">
        <x:f>B31+C31</x:f>
        <x:v>82</x:v>
      </x:c>
      <x:c r="E31" s="4">
        <x:f>D31-72</x:f>
        <x:v>10</x:v>
      </x:c>
    </x:row>
    <x:row r="32">
      <x:c r="A32" s="3" t="inlineStr">
        <x:is>
          <x:t xml:space="preserve">Player B4</x:t>
        </x:is>
      </x:c>
      <x:c r="B32" s="4">
        <x:f>SUM(L4:L12)</x:f>
        <x:v>45</x:v>
      </x:c>
      <x:c r="C32" s="4">
        <x:f>SUM(L13:L21)</x:f>
        <x:v>46</x:v>
      </x:c>
      <x:c r="D32" s="4">
        <x:f>B32+C32</x:f>
        <x:v>91</x:v>
      </x:c>
      <x:c r="E32" s="4">
        <x:f>D32-72</x:f>
        <x:v>19</x:v>
      </x:c>
    </x:row>
    <x:row r="33">
      <x:c r="A33" s="3" t="inlineStr">
        <x:is>
          <x:t xml:space="preserve">Player C1</x:t>
        </x:is>
      </x:c>
      <x:c r="B33" s="4">
        <x:f>SUM(M4:M12)</x:f>
        <x:v>38</x:v>
      </x:c>
      <x:c r="C33" s="4">
        <x:f>SUM(M13:M21)</x:f>
        <x:v>41</x:v>
      </x:c>
      <x:c r="D33" s="4">
        <x:f>B33+C33</x:f>
        <x:v>79</x:v>
      </x:c>
      <x:c r="E33" s="4">
        <x:f>D33-72</x:f>
        <x:v>7</x:v>
      </x:c>
    </x:row>
    <x:row r="34">
      <x:c r="A34" s="3" t="inlineStr">
        <x:is>
          <x:t xml:space="preserve">Player C2</x:t>
        </x:is>
      </x:c>
      <x:c r="B34" s="4">
        <x:f>SUM(N4:N12)</x:f>
        <x:v>43</x:v>
      </x:c>
      <x:c r="C34" s="4">
        <x:f>SUM(N13:N21)</x:f>
        <x:v>40</x:v>
      </x:c>
      <x:c r="D34" s="4">
        <x:f>B34+C34</x:f>
        <x:v>83</x:v>
      </x:c>
      <x:c r="E34" s="4">
        <x:f>D34-72</x:f>
        <x:v>11</x:v>
      </x:c>
    </x:row>
    <x:row r="35">
      <x:c r="A35" s="3" t="inlineStr">
        <x:is>
          <x:t xml:space="preserve">Player C3</x:t>
        </x:is>
      </x:c>
      <x:c r="B35" s="4">
        <x:f>SUM(O4:O12)</x:f>
        <x:v>42</x:v>
      </x:c>
      <x:c r="C35" s="4">
        <x:f>SUM(O13:O21)</x:f>
        <x:v>43</x:v>
      </x:c>
      <x:c r="D35" s="4">
        <x:f>B35+C35</x:f>
        <x:v>85</x:v>
      </x:c>
      <x:c r="E35" s="4">
        <x:f>D35-72</x:f>
        <x:v>13</x:v>
      </x:c>
    </x:row>
    <x:row r="36">
      <x:c r="A36" s="3" t="inlineStr">
        <x:is>
          <x:t xml:space="preserve">Player C4</x:t>
        </x:is>
      </x:c>
      <x:c r="B36" s="4">
        <x:f>SUM(P4:P12)</x:f>
        <x:v>39</x:v>
      </x:c>
      <x:c r="C36" s="4">
        <x:f>SUM(P13:P21)</x:f>
        <x:v>38</x:v>
      </x:c>
      <x:c r="D36" s="4">
        <x:f>B36+C36</x:f>
        <x:v>77</x:v>
      </x:c>
      <x:c r="E36" s="4">
        <x:f>D36-72</x:f>
        <x:v>5</x:v>
      </x:c>
    </x:row>
    <x:row r="37">
      <x:c r="A37" s="3" t="n"/>
      <x:c r="B37" s="3" t="n"/>
      <x:c r="C37" s="3" t="n"/>
      <x:c r="D37" s="3" t="n"/>
      <x:c r="E37" s="3" t="n"/>
    </x:row>
  </x:sheetData>
  <x:mergeCells>
    <x:mergeCell ref="A23:D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5" customWidth="1"/>
    <x:col min="3" max="3" width="12" customWidth="1"/>
    <x:col min="4" max="4" width="9" customWidth="1"/>
    <x:col min="5" max="5" width="9" customWidth="1"/>
    <x:col min="6" max="6" width="12" customWidth="1"/>
    <x:col min="7" max="7" width="9" customWidth="1"/>
    <x:col min="8" max="8" width="9" customWidth="1"/>
    <x:col min="9" max="9" width="12" customWidth="1"/>
    <x:col min="10" max="10" width="9" customWidth="1"/>
    <x:col min="11" max="11" width="9" customWidth="1"/>
    <x:col min="13" max="13" width="13" customWidth="1"/>
    <x:col min="14" max="14" width="13" customWidth="1"/>
    <x:col min="15" max="15" width="13" customWidth="1"/>
    <x:col min="16" max="16" width="13" customWidth="1"/>
    <x:col min="17" max="17" width="13" customWidth="1"/>
    <x:col min="18" max="18" width="13" customWidth="1"/>
    <x:col min="19" max="19" width="13" customWidth="1"/>
    <x:col min="20" max="20" width="13" customWidth="1"/>
    <x:col min="21" max="21" width="13" customWidth="1"/>
    <x:col min="22" max="22" width="13" customWidth="1"/>
    <x:col min="23" max="23" width="13" customWidth="1"/>
    <x:col min="24" max="24" width="13" customWidth="1"/>
    <x:col min="25" max="25" width="13" customWidth="1"/>
  </x:cols>
  <x:sheetData>
    <x:row r="1">
      <x:c r="A1" s="5" t="inlineStr">
        <x:is>
          <x:t xml:space="preserve">Team Scoring — Best 2 of 4 (Gross)</x:t>
        </x:is>
      </x:c>
    </x:row>
    <x:row r="3">
      <x:c r="A3" s="2" t="inlineStr">
        <x:is>
          <x:t xml:space="preserve">Hole</x:t>
        </x:is>
      </x:c>
      <x:c r="B3" s="2" t="inlineStr">
        <x:is>
          <x:t xml:space="preserve">Par</x:t>
        </x:is>
      </x:c>
      <x:c r="C3" s="2" t="inlineStr">
        <x:is>
          <x:t xml:space="preserve">Team A Best2</x:t>
        </x:is>
      </x:c>
      <x:c r="D3" s="2" t="inlineStr">
        <x:is>
          <x:t xml:space="preserve">Team A ToPar</x:t>
        </x:is>
      </x:c>
      <x:c r="E3" s="2" t="inlineStr">
        <x:is>
          <x:t xml:space="preserve">Team A Disp</x:t>
        </x:is>
      </x:c>
      <x:c r="F3" s="2" t="inlineStr">
        <x:is>
          <x:t xml:space="preserve">Team B Best2</x:t>
        </x:is>
      </x:c>
      <x:c r="G3" s="2" t="inlineStr">
        <x:is>
          <x:t xml:space="preserve">Team B ToPar</x:t>
        </x:is>
      </x:c>
      <x:c r="H3" s="2" t="inlineStr">
        <x:is>
          <x:t xml:space="preserve">Team B Disp</x:t>
        </x:is>
      </x:c>
      <x:c r="I3" s="2" t="inlineStr">
        <x:is>
          <x:t xml:space="preserve">Team C Best2</x:t>
        </x:is>
      </x:c>
      <x:c r="J3" s="2" t="inlineStr">
        <x:is>
          <x:t xml:space="preserve">Team C ToPar</x:t>
        </x:is>
      </x:c>
      <x:c r="K3" s="2" t="inlineStr">
        <x:is>
          <x:t xml:space="preserve">Team C Disp</x:t>
        </x:is>
      </x:c>
      <x:c r="M3" s="7" t="inlineStr">
        <x:is>
          <x:t xml:space="preserve">Helper</x:t>
        </x:is>
      </x:c>
      <x:c r="N3" s="8" t="inlineStr">
        <x:is>
          <x:t xml:space="preserve">Player A1</x:t>
        </x:is>
      </x:c>
      <x:c r="O3" s="8" t="inlineStr">
        <x:is>
          <x:t xml:space="preserve">Player A2</x:t>
        </x:is>
      </x:c>
      <x:c r="P3" s="8" t="inlineStr">
        <x:is>
          <x:t xml:space="preserve">Player A3</x:t>
        </x:is>
      </x:c>
      <x:c r="Q3" s="8" t="inlineStr">
        <x:is>
          <x:t xml:space="preserve">Player A4</x:t>
        </x:is>
      </x:c>
      <x:c r="R3" s="8" t="inlineStr">
        <x:is>
          <x:t xml:space="preserve">Player B1</x:t>
        </x:is>
      </x:c>
      <x:c r="S3" s="8" t="inlineStr">
        <x:is>
          <x:t xml:space="preserve">Player B2</x:t>
        </x:is>
      </x:c>
      <x:c r="T3" s="8" t="inlineStr">
        <x:is>
          <x:t xml:space="preserve">Player B3</x:t>
        </x:is>
      </x:c>
      <x:c r="U3" s="8" t="inlineStr">
        <x:is>
          <x:t xml:space="preserve">Player B4</x:t>
        </x:is>
      </x:c>
      <x:c r="V3" s="8" t="inlineStr">
        <x:is>
          <x:t xml:space="preserve">Player C1</x:t>
        </x:is>
      </x:c>
      <x:c r="W3" s="8" t="inlineStr">
        <x:is>
          <x:t xml:space="preserve">Player C2</x:t>
        </x:is>
      </x:c>
      <x:c r="X3" s="8" t="inlineStr">
        <x:is>
          <x:t xml:space="preserve">Player C3</x:t>
        </x:is>
      </x:c>
      <x:c r="Y3" s="8" t="inlineStr">
        <x:is>
          <x:t xml:space="preserve">Player C4</x:t>
        </x:is>
      </x:c>
    </x:row>
    <x:row r="4">
      <x:c r="A4" s="4" t="n">
        <x:v>1</x:v>
      </x:c>
      <x:c r="B4" s="4" t="n">
        <x:v>4</x:v>
      </x:c>
      <x:c r="C4" s="4">
        <x:f>SMALL(N4:Q4,1)+SMALL(N4:Q4,2)</x:f>
        <x:v>7</x:v>
      </x:c>
      <x:c r="D4" s="4">
        <x:f>C4-(B4*2)</x:f>
        <x:v>-1</x:v>
      </x:c>
      <x:c r="E4" s="4">
        <x:f>IF(D4=0,"E",D4)</x:f>
        <x:v>-1</x:v>
      </x:c>
      <x:c r="F4" s="4">
        <x:f>SMALL(R4:U4,1)+SMALL(R4:U4,2)</x:f>
        <x:v>8</x:v>
      </x:c>
      <x:c r="G4" s="4">
        <x:f>F4-(B4*2)</x:f>
        <x:v>0</x:v>
      </x:c>
      <x:c r="H4" s="4" t="str">
        <x:f>IF(G4=0,"E",G4)</x:f>
        <x:v>E</x:v>
      </x:c>
      <x:c r="I4" s="4">
        <x:f>SMALL(V4:Y4,1)+SMALL(V4:Y4,2)</x:f>
        <x:v>6</x:v>
      </x:c>
      <x:c r="J4" s="4">
        <x:f>I4-(B4*2)</x:f>
        <x:v>-2</x:v>
      </x:c>
      <x:c r="K4" s="4">
        <x:f>IF(J4=0,"E",J4)</x:f>
        <x:v>-2</x:v>
      </x:c>
      <x:c r="N4">
        <x:f>Scorecard!E4</x:f>
        <x:v>4</x:v>
      </x:c>
      <x:c r="O4">
        <x:f>Scorecard!F4</x:f>
        <x:v>3</x:v>
      </x:c>
      <x:c r="P4">
        <x:f>Scorecard!G4</x:f>
        <x:v>4</x:v>
      </x:c>
      <x:c r="Q4">
        <x:f>Scorecard!H4</x:f>
        <x:v>4</x:v>
      </x:c>
      <x:c r="R4">
        <x:f>Scorecard!I4</x:f>
        <x:v>4</x:v>
      </x:c>
      <x:c r="S4">
        <x:f>Scorecard!J4</x:f>
        <x:v>4</x:v>
      </x:c>
      <x:c r="T4">
        <x:f>Scorecard!K4</x:f>
        <x:v>4</x:v>
      </x:c>
      <x:c r="U4">
        <x:f>Scorecard!L4</x:f>
        <x:v>6</x:v>
      </x:c>
      <x:c r="V4">
        <x:f>Scorecard!M4</x:f>
        <x:v>4</x:v>
      </x:c>
      <x:c r="W4">
        <x:f>Scorecard!N4</x:f>
        <x:v>5</x:v>
      </x:c>
      <x:c r="X4">
        <x:f>Scorecard!O4</x:f>
        <x:v>3</x:v>
      </x:c>
      <x:c r="Y4">
        <x:f>Scorecard!P4</x:f>
        <x:v>3</x:v>
      </x:c>
    </x:row>
    <x:row r="5">
      <x:c r="A5" s="4" t="n">
        <x:v>2</x:v>
      </x:c>
      <x:c r="B5" s="4" t="n">
        <x:v>4</x:v>
      </x:c>
      <x:c r="C5" s="4">
        <x:f>SMALL(N5:Q5,1)+SMALL(N5:Q5,2)</x:f>
        <x:v>8</x:v>
      </x:c>
      <x:c r="D5" s="4">
        <x:f>C5-(B5*2)</x:f>
        <x:v>0</x:v>
      </x:c>
      <x:c r="E5" s="4" t="str">
        <x:f>IF(D5=0,"E",D5)</x:f>
        <x:v>E</x:v>
      </x:c>
      <x:c r="F5" s="4">
        <x:f>SMALL(R5:U5,1)+SMALL(R5:U5,2)</x:f>
        <x:v>7</x:v>
      </x:c>
      <x:c r="G5" s="4">
        <x:f>F5-(B5*2)</x:f>
        <x:v>-1</x:v>
      </x:c>
      <x:c r="H5" s="4">
        <x:f>IF(G5=0,"E",G5)</x:f>
        <x:v>-1</x:v>
      </x:c>
      <x:c r="I5" s="4">
        <x:f>SMALL(V5:Y5,1)+SMALL(V5:Y5,2)</x:f>
        <x:v>8</x:v>
      </x:c>
      <x:c r="J5" s="4">
        <x:f>I5-(B5*2)</x:f>
        <x:v>0</x:v>
      </x:c>
      <x:c r="K5" s="4" t="str">
        <x:f>IF(J5=0,"E",J5)</x:f>
        <x:v>E</x:v>
      </x:c>
      <x:c r="N5">
        <x:f>Scorecard!E5</x:f>
        <x:v>4</x:v>
      </x:c>
      <x:c r="O5">
        <x:f>Scorecard!F5</x:f>
        <x:v>4</x:v>
      </x:c>
      <x:c r="P5">
        <x:f>Scorecard!G5</x:f>
        <x:v>4</x:v>
      </x:c>
      <x:c r="Q5">
        <x:f>Scorecard!H5</x:f>
        <x:v>6</x:v>
      </x:c>
      <x:c r="R5">
        <x:f>Scorecard!I5</x:f>
        <x:v>3</x:v>
      </x:c>
      <x:c r="S5">
        <x:f>Scorecard!J5</x:f>
        <x:v>6</x:v>
      </x:c>
      <x:c r="T5">
        <x:f>Scorecard!K5</x:f>
        <x:v>4</x:v>
      </x:c>
      <x:c r="U5">
        <x:f>Scorecard!L5</x:f>
        <x:v>6</x:v>
      </x:c>
      <x:c r="V5">
        <x:f>Scorecard!M5</x:f>
        <x:v>5</x:v>
      </x:c>
      <x:c r="W5">
        <x:f>Scorecard!N5</x:f>
        <x:v>4</x:v>
      </x:c>
      <x:c r="X5">
        <x:f>Scorecard!O5</x:f>
        <x:v>6</x:v>
      </x:c>
      <x:c r="Y5">
        <x:f>Scorecard!P5</x:f>
        <x:v>4</x:v>
      </x:c>
    </x:row>
    <x:row r="6">
      <x:c r="A6" s="4" t="n">
        <x:v>3</x:v>
      </x:c>
      <x:c r="B6" s="4" t="n">
        <x:v>3</x:v>
      </x:c>
      <x:c r="C6" s="4">
        <x:f>SMALL(N6:Q6,1)+SMALL(N6:Q6,2)</x:f>
        <x:v>7</x:v>
      </x:c>
      <x:c r="D6" s="4">
        <x:f>C6-(B6*2)</x:f>
        <x:v>1</x:v>
      </x:c>
      <x:c r="E6" s="4">
        <x:f>IF(D6=0,"E",D6)</x:f>
        <x:v>1</x:v>
      </x:c>
      <x:c r="F6" s="4">
        <x:f>SMALL(R6:U6,1)+SMALL(R6:U6,2)</x:f>
        <x:v>6</x:v>
      </x:c>
      <x:c r="G6" s="4">
        <x:f>F6-(B6*2)</x:f>
        <x:v>0</x:v>
      </x:c>
      <x:c r="H6" s="4" t="str">
        <x:f>IF(G6=0,"E",G6)</x:f>
        <x:v>E</x:v>
      </x:c>
      <x:c r="I6" s="4">
        <x:f>SMALL(V6:Y6,1)+SMALL(V6:Y6,2)</x:f>
        <x:v>6</x:v>
      </x:c>
      <x:c r="J6" s="4">
        <x:f>I6-(B6*2)</x:f>
        <x:v>0</x:v>
      </x:c>
      <x:c r="K6" s="4" t="str">
        <x:f>IF(J6=0,"E",J6)</x:f>
        <x:v>E</x:v>
      </x:c>
      <x:c r="N6">
        <x:f>Scorecard!E6</x:f>
        <x:v>5</x:v>
      </x:c>
      <x:c r="O6">
        <x:f>Scorecard!F6</x:f>
        <x:v>5</x:v>
      </x:c>
      <x:c r="P6">
        <x:f>Scorecard!G6</x:f>
        <x:v>2</x:v>
      </x:c>
      <x:c r="Q6">
        <x:f>Scorecard!H6</x:f>
        <x:v>5</x:v>
      </x:c>
      <x:c r="R6">
        <x:f>Scorecard!I6</x:f>
        <x:v>5</x:v>
      </x:c>
      <x:c r="S6">
        <x:f>Scorecard!J6</x:f>
        <x:v>3</x:v>
      </x:c>
      <x:c r="T6">
        <x:f>Scorecard!K6</x:f>
        <x:v>4</x:v>
      </x:c>
      <x:c r="U6">
        <x:f>Scorecard!L6</x:f>
        <x:v>3</x:v>
      </x:c>
      <x:c r="V6">
        <x:f>Scorecard!M6</x:f>
        <x:v>3</x:v>
      </x:c>
      <x:c r="W6">
        <x:f>Scorecard!N6</x:f>
        <x:v>3</x:v>
      </x:c>
      <x:c r="X6">
        <x:f>Scorecard!O6</x:f>
        <x:v>3</x:v>
      </x:c>
      <x:c r="Y6">
        <x:f>Scorecard!P6</x:f>
        <x:v>3</x:v>
      </x:c>
    </x:row>
    <x:row r="7">
      <x:c r="A7" s="4" t="n">
        <x:v>4</x:v>
      </x:c>
      <x:c r="B7" s="4" t="n">
        <x:v>5</x:v>
      </x:c>
      <x:c r="C7" s="4">
        <x:f>SMALL(N7:Q7,1)+SMALL(N7:Q7,2)</x:f>
        <x:v>10</x:v>
      </x:c>
      <x:c r="D7" s="4">
        <x:f>C7-(B7*2)</x:f>
        <x:v>0</x:v>
      </x:c>
      <x:c r="E7" s="4" t="str">
        <x:f>IF(D7=0,"E",D7)</x:f>
        <x:v>E</x:v>
      </x:c>
      <x:c r="F7" s="4">
        <x:f>SMALL(R7:U7,1)+SMALL(R7:U7,2)</x:f>
        <x:v>11</x:v>
      </x:c>
      <x:c r="G7" s="4">
        <x:f>F7-(B7*2)</x:f>
        <x:v>1</x:v>
      </x:c>
      <x:c r="H7" s="4">
        <x:f>IF(G7=0,"E",G7)</x:f>
        <x:v>1</x:v>
      </x:c>
      <x:c r="I7" s="4">
        <x:f>SMALL(V7:Y7,1)+SMALL(V7:Y7,2)</x:f>
        <x:v>9</x:v>
      </x:c>
      <x:c r="J7" s="4">
        <x:f>I7-(B7*2)</x:f>
        <x:v>-1</x:v>
      </x:c>
      <x:c r="K7" s="4">
        <x:f>IF(J7=0,"E",J7)</x:f>
        <x:v>-1</x:v>
      </x:c>
      <x:c r="N7">
        <x:f>Scorecard!E7</x:f>
        <x:v>6</x:v>
      </x:c>
      <x:c r="O7">
        <x:f>Scorecard!F7</x:f>
        <x:v>5</x:v>
      </x:c>
      <x:c r="P7">
        <x:f>Scorecard!G7</x:f>
        <x:v>5</x:v>
      </x:c>
      <x:c r="Q7">
        <x:f>Scorecard!H7</x:f>
        <x:v>7</x:v>
      </x:c>
      <x:c r="R7">
        <x:f>Scorecard!I7</x:f>
        <x:v>5</x:v>
      </x:c>
      <x:c r="S7">
        <x:f>Scorecard!J7</x:f>
        <x:v>6</x:v>
      </x:c>
      <x:c r="T7">
        <x:f>Scorecard!K7</x:f>
        <x:v>6</x:v>
      </x:c>
      <x:c r="U7">
        <x:f>Scorecard!L7</x:f>
        <x:v>6</x:v>
      </x:c>
      <x:c r="V7">
        <x:f>Scorecard!M7</x:f>
        <x:v>4</x:v>
      </x:c>
      <x:c r="W7">
        <x:f>Scorecard!N7</x:f>
        <x:v>7</x:v>
      </x:c>
      <x:c r="X7">
        <x:f>Scorecard!O7</x:f>
        <x:v>8</x:v>
      </x:c>
      <x:c r="Y7">
        <x:f>Scorecard!P7</x:f>
        <x:v>5</x:v>
      </x:c>
    </x:row>
    <x:row r="8">
      <x:c r="A8" s="4" t="n">
        <x:v>5</x:v>
      </x:c>
      <x:c r="B8" s="4" t="n">
        <x:v>4</x:v>
      </x:c>
      <x:c r="C8" s="4">
        <x:f>SMALL(N8:Q8,1)+SMALL(N8:Q8,2)</x:f>
        <x:v>8</x:v>
      </x:c>
      <x:c r="D8" s="4">
        <x:f>C8-(B8*2)</x:f>
        <x:v>0</x:v>
      </x:c>
      <x:c r="E8" s="4" t="str">
        <x:f>IF(D8=0,"E",D8)</x:f>
        <x:v>E</x:v>
      </x:c>
      <x:c r="F8" s="4">
        <x:f>SMALL(R8:U8,1)+SMALL(R8:U8,2)</x:f>
        <x:v>7</x:v>
      </x:c>
      <x:c r="G8" s="4">
        <x:f>F8-(B8*2)</x:f>
        <x:v>-1</x:v>
      </x:c>
      <x:c r="H8" s="4">
        <x:f>IF(G8=0,"E",G8)</x:f>
        <x:v>-1</x:v>
      </x:c>
      <x:c r="I8" s="4">
        <x:f>SMALL(V8:Y8,1)+SMALL(V8:Y8,2)</x:f>
        <x:v>8</x:v>
      </x:c>
      <x:c r="J8" s="4">
        <x:f>I8-(B8*2)</x:f>
        <x:v>0</x:v>
      </x:c>
      <x:c r="K8" s="4" t="str">
        <x:f>IF(J8=0,"E",J8)</x:f>
        <x:v>E</x:v>
      </x:c>
      <x:c r="N8">
        <x:f>Scorecard!E8</x:f>
        <x:v>5</x:v>
      </x:c>
      <x:c r="O8">
        <x:f>Scorecard!F8</x:f>
        <x:v>4</x:v>
      </x:c>
      <x:c r="P8">
        <x:f>Scorecard!G8</x:f>
        <x:v>6</x:v>
      </x:c>
      <x:c r="Q8">
        <x:f>Scorecard!H8</x:f>
        <x:v>4</x:v>
      </x:c>
      <x:c r="R8">
        <x:f>Scorecard!I8</x:f>
        <x:v>5</x:v>
      </x:c>
      <x:c r="S8">
        <x:f>Scorecard!J8</x:f>
        <x:v>4</x:v>
      </x:c>
      <x:c r="T8">
        <x:f>Scorecard!K8</x:f>
        <x:v>4</x:v>
      </x:c>
      <x:c r="U8">
        <x:f>Scorecard!L8</x:f>
        <x:v>3</x:v>
      </x:c>
      <x:c r="V8">
        <x:f>Scorecard!M8</x:f>
        <x:v>4</x:v>
      </x:c>
      <x:c r="W8">
        <x:f>Scorecard!N8</x:f>
        <x:v>4</x:v>
      </x:c>
      <x:c r="X8">
        <x:f>Scorecard!O8</x:f>
        <x:v>4</x:v>
      </x:c>
      <x:c r="Y8">
        <x:f>Scorecard!P8</x:f>
        <x:v>4</x:v>
      </x:c>
    </x:row>
    <x:row r="9">
      <x:c r="A9" s="4" t="n">
        <x:v>6</x:v>
      </x:c>
      <x:c r="B9" s="4" t="n">
        <x:v>4</x:v>
      </x:c>
      <x:c r="C9" s="4">
        <x:f>SMALL(N9:Q9,1)+SMALL(N9:Q9,2)</x:f>
        <x:v>8</x:v>
      </x:c>
      <x:c r="D9" s="4">
        <x:f>C9-(B9*2)</x:f>
        <x:v>0</x:v>
      </x:c>
      <x:c r="E9" s="4" t="str">
        <x:f>IF(D9=0,"E",D9)</x:f>
        <x:v>E</x:v>
      </x:c>
      <x:c r="F9" s="4">
        <x:f>SMALL(R9:U9,1)+SMALL(R9:U9,2)</x:f>
        <x:v>9</x:v>
      </x:c>
      <x:c r="G9" s="4">
        <x:f>F9-(B9*2)</x:f>
        <x:v>1</x:v>
      </x:c>
      <x:c r="H9" s="4">
        <x:f>IF(G9=0,"E",G9)</x:f>
        <x:v>1</x:v>
      </x:c>
      <x:c r="I9" s="4">
        <x:f>SMALL(V9:Y9,1)+SMALL(V9:Y9,2)</x:f>
        <x:v>8</x:v>
      </x:c>
      <x:c r="J9" s="4">
        <x:f>I9-(B9*2)</x:f>
        <x:v>0</x:v>
      </x:c>
      <x:c r="K9" s="4" t="str">
        <x:f>IF(J9=0,"E",J9)</x:f>
        <x:v>E</x:v>
      </x:c>
      <x:c r="N9">
        <x:f>Scorecard!E9</x:f>
        <x:v>4</x:v>
      </x:c>
      <x:c r="O9">
        <x:f>Scorecard!F9</x:f>
        <x:v>5</x:v>
      </x:c>
      <x:c r="P9">
        <x:f>Scorecard!G9</x:f>
        <x:v>4</x:v>
      </x:c>
      <x:c r="Q9">
        <x:f>Scorecard!H9</x:f>
        <x:v>6</x:v>
      </x:c>
      <x:c r="R9">
        <x:f>Scorecard!I9</x:f>
        <x:v>5</x:v>
      </x:c>
      <x:c r="S9">
        <x:f>Scorecard!J9</x:f>
        <x:v>4</x:v>
      </x:c>
      <x:c r="T9">
        <x:f>Scorecard!K9</x:f>
        <x:v>5</x:v>
      </x:c>
      <x:c r="U9">
        <x:f>Scorecard!L9</x:f>
        <x:v>5</x:v>
      </x:c>
      <x:c r="V9">
        <x:f>Scorecard!M9</x:f>
        <x:v>4</x:v>
      </x:c>
      <x:c r="W9">
        <x:f>Scorecard!N9</x:f>
        <x:v>4</x:v>
      </x:c>
      <x:c r="X9">
        <x:f>Scorecard!O9</x:f>
        <x:v>4</x:v>
      </x:c>
      <x:c r="Y9">
        <x:f>Scorecard!P9</x:f>
        <x:v>4</x:v>
      </x:c>
    </x:row>
    <x:row r="10">
      <x:c r="A10" s="4" t="n">
        <x:v>7</x:v>
      </x:c>
      <x:c r="B10" s="4" t="n">
        <x:v>3</x:v>
      </x:c>
      <x:c r="C10" s="4">
        <x:f>SMALL(N10:Q10,1)+SMALL(N10:Q10,2)</x:f>
        <x:v>6</x:v>
      </x:c>
      <x:c r="D10" s="4">
        <x:f>C10-(B10*2)</x:f>
        <x:v>0</x:v>
      </x:c>
      <x:c r="E10" s="4" t="str">
        <x:f>IF(D10=0,"E",D10)</x:f>
        <x:v>E</x:v>
      </x:c>
      <x:c r="F10" s="4">
        <x:f>SMALL(R10:U10,1)+SMALL(R10:U10,2)</x:f>
        <x:v>6</x:v>
      </x:c>
      <x:c r="G10" s="4">
        <x:f>F10-(B10*2)</x:f>
        <x:v>0</x:v>
      </x:c>
      <x:c r="H10" s="4" t="str">
        <x:f>IF(G10=0,"E",G10)</x:f>
        <x:v>E</x:v>
      </x:c>
      <x:c r="I10" s="4">
        <x:f>SMALL(V10:Y10,1)+SMALL(V10:Y10,2)</x:f>
        <x:v>7</x:v>
      </x:c>
      <x:c r="J10" s="4">
        <x:f>I10-(B10*2)</x:f>
        <x:v>1</x:v>
      </x:c>
      <x:c r="K10" s="4">
        <x:f>IF(J10=0,"E",J10)</x:f>
        <x:v>1</x:v>
      </x:c>
      <x:c r="N10">
        <x:f>Scorecard!E10</x:f>
        <x:v>4</x:v>
      </x:c>
      <x:c r="O10">
        <x:f>Scorecard!F10</x:f>
        <x:v>4</x:v>
      </x:c>
      <x:c r="P10">
        <x:f>Scorecard!G10</x:f>
        <x:v>3</x:v>
      </x:c>
      <x:c r="Q10">
        <x:f>Scorecard!H10</x:f>
        <x:v>3</x:v>
      </x:c>
      <x:c r="R10">
        <x:f>Scorecard!I10</x:f>
        <x:v>3</x:v>
      </x:c>
      <x:c r="S10">
        <x:f>Scorecard!J10</x:f>
        <x:v>3</x:v>
      </x:c>
      <x:c r="T10">
        <x:f>Scorecard!K10</x:f>
        <x:v>3</x:v>
      </x:c>
      <x:c r="U10">
        <x:f>Scorecard!L10</x:f>
        <x:v>4</x:v>
      </x:c>
      <x:c r="V10">
        <x:f>Scorecard!M10</x:f>
        <x:v>4</x:v>
      </x:c>
      <x:c r="W10">
        <x:f>Scorecard!N10</x:f>
        <x:v>4</x:v>
      </x:c>
      <x:c r="X10">
        <x:f>Scorecard!O10</x:f>
        <x:v>3</x:v>
      </x:c>
      <x:c r="Y10">
        <x:f>Scorecard!P10</x:f>
        <x:v>4</x:v>
      </x:c>
    </x:row>
    <x:row r="11">
      <x:c r="A11" s="4" t="n">
        <x:v>8</x:v>
      </x:c>
      <x:c r="B11" s="4" t="n">
        <x:v>4</x:v>
      </x:c>
      <x:c r="C11" s="4">
        <x:f>SMALL(N11:Q11,1)+SMALL(N11:Q11,2)</x:f>
        <x:v>6</x:v>
      </x:c>
      <x:c r="D11" s="4">
        <x:f>C11-(B11*2)</x:f>
        <x:v>-2</x:v>
      </x:c>
      <x:c r="E11" s="4">
        <x:f>IF(D11=0,"E",D11)</x:f>
        <x:v>-2</x:v>
      </x:c>
      <x:c r="F11" s="4">
        <x:f>SMALL(R11:U11,1)+SMALL(R11:U11,2)</x:f>
        <x:v>8</x:v>
      </x:c>
      <x:c r="G11" s="4">
        <x:f>F11-(B11*2)</x:f>
        <x:v>0</x:v>
      </x:c>
      <x:c r="H11" s="4" t="str">
        <x:f>IF(G11=0,"E",G11)</x:f>
        <x:v>E</x:v>
      </x:c>
      <x:c r="I11" s="4">
        <x:f>SMALL(V11:Y11,1)+SMALL(V11:Y11,2)</x:f>
        <x:v>8</x:v>
      </x:c>
      <x:c r="J11" s="4">
        <x:f>I11-(B11*2)</x:f>
        <x:v>0</x:v>
      </x:c>
      <x:c r="K11" s="4" t="str">
        <x:f>IF(J11=0,"E",J11)</x:f>
        <x:v>E</x:v>
      </x:c>
      <x:c r="N11">
        <x:f>Scorecard!E11</x:f>
        <x:v>5</x:v>
      </x:c>
      <x:c r="O11">
        <x:f>Scorecard!F11</x:f>
        <x:v>3</x:v>
      </x:c>
      <x:c r="P11">
        <x:f>Scorecard!G11</x:f>
        <x:v>4</x:v>
      </x:c>
      <x:c r="Q11">
        <x:f>Scorecard!H11</x:f>
        <x:v>3</x:v>
      </x:c>
      <x:c r="R11">
        <x:f>Scorecard!I11</x:f>
        <x:v>5</x:v>
      </x:c>
      <x:c r="S11">
        <x:f>Scorecard!J11</x:f>
        <x:v>5</x:v>
      </x:c>
      <x:c r="T11">
        <x:f>Scorecard!K11</x:f>
        <x:v>4</x:v>
      </x:c>
      <x:c r="U11">
        <x:f>Scorecard!L11</x:f>
        <x:v>4</x:v>
      </x:c>
      <x:c r="V11">
        <x:f>Scorecard!M11</x:f>
        <x:v>4</x:v>
      </x:c>
      <x:c r="W11">
        <x:f>Scorecard!N11</x:f>
        <x:v>5</x:v>
      </x:c>
      <x:c r="X11">
        <x:f>Scorecard!O11</x:f>
        <x:v>4</x:v>
      </x:c>
      <x:c r="Y11">
        <x:f>Scorecard!P11</x:f>
        <x:v>6</x:v>
      </x:c>
    </x:row>
    <x:row r="12">
      <x:c r="A12" s="4" t="n">
        <x:v>9</x:v>
      </x:c>
      <x:c r="B12" s="4" t="n">
        <x:v>5</x:v>
      </x:c>
      <x:c r="C12" s="4">
        <x:f>SMALL(N12:Q12,1)+SMALL(N12:Q12,2)</x:f>
        <x:v>11</x:v>
      </x:c>
      <x:c r="D12" s="4">
        <x:f>C12-(B12*2)</x:f>
        <x:v>1</x:v>
      </x:c>
      <x:c r="E12" s="4">
        <x:f>IF(D12=0,"E",D12)</x:f>
        <x:v>1</x:v>
      </x:c>
      <x:c r="F12" s="4">
        <x:f>SMALL(R12:U12,1)+SMALL(R12:U12,2)</x:f>
        <x:v>10</x:v>
      </x:c>
      <x:c r="G12" s="4">
        <x:f>F12-(B12*2)</x:f>
        <x:v>0</x:v>
      </x:c>
      <x:c r="H12" s="4" t="str">
        <x:f>IF(G12=0,"E",G12)</x:f>
        <x:v>E</x:v>
      </x:c>
      <x:c r="I12" s="4">
        <x:f>SMALL(V12:Y12,1)+SMALL(V12:Y12,2)</x:f>
        <x:v>12</x:v>
      </x:c>
      <x:c r="J12" s="4">
        <x:f>I12-(B12*2)</x:f>
        <x:v>2</x:v>
      </x:c>
      <x:c r="K12" s="4">
        <x:f>IF(J12=0,"E",J12)</x:f>
        <x:v>2</x:v>
      </x:c>
      <x:c r="N12">
        <x:f>Scorecard!E12</x:f>
        <x:v>7</x:v>
      </x:c>
      <x:c r="O12">
        <x:f>Scorecard!F12</x:f>
        <x:v>7</x:v>
      </x:c>
      <x:c r="P12">
        <x:f>Scorecard!G12</x:f>
        <x:v>5</x:v>
      </x:c>
      <x:c r="Q12">
        <x:f>Scorecard!H12</x:f>
        <x:v>6</x:v>
      </x:c>
      <x:c r="R12">
        <x:f>Scorecard!I12</x:f>
        <x:v>5</x:v>
      </x:c>
      <x:c r="S12">
        <x:f>Scorecard!J12</x:f>
        <x:v>5</x:v>
      </x:c>
      <x:c r="T12">
        <x:f>Scorecard!K12</x:f>
        <x:v>8</x:v>
      </x:c>
      <x:c r="U12">
        <x:f>Scorecard!L12</x:f>
        <x:v>8</x:v>
      </x:c>
      <x:c r="V12">
        <x:f>Scorecard!M12</x:f>
        <x:v>6</x:v>
      </x:c>
      <x:c r="W12">
        <x:f>Scorecard!N12</x:f>
        <x:v>7</x:v>
      </x:c>
      <x:c r="X12">
        <x:f>Scorecard!O12</x:f>
        <x:v>7</x:v>
      </x:c>
      <x:c r="Y12">
        <x:f>Scorecard!P12</x:f>
        <x:v>6</x:v>
      </x:c>
    </x:row>
    <x:row r="13">
      <x:c r="A13" s="4" t="n">
        <x:v>10</x:v>
      </x:c>
      <x:c r="B13" s="4" t="n">
        <x:v>4</x:v>
      </x:c>
      <x:c r="C13" s="4">
        <x:f>SMALL(N13:Q13,1)+SMALL(N13:Q13,2)</x:f>
        <x:v>8</x:v>
      </x:c>
      <x:c r="D13" s="4">
        <x:f>C13-(B13*2)</x:f>
        <x:v>0</x:v>
      </x:c>
      <x:c r="E13" s="4" t="str">
        <x:f>IF(D13=0,"E",D13)</x:f>
        <x:v>E</x:v>
      </x:c>
      <x:c r="F13" s="4">
        <x:f>SMALL(R13:U13,1)+SMALL(R13:U13,2)</x:f>
        <x:v>7</x:v>
      </x:c>
      <x:c r="G13" s="4">
        <x:f>F13-(B13*2)</x:f>
        <x:v>-1</x:v>
      </x:c>
      <x:c r="H13" s="4">
        <x:f>IF(G13=0,"E",G13)</x:f>
        <x:v>-1</x:v>
      </x:c>
      <x:c r="I13" s="4">
        <x:f>SMALL(V13:Y13,1)+SMALL(V13:Y13,2)</x:f>
        <x:v>8</x:v>
      </x:c>
      <x:c r="J13" s="4">
        <x:f>I13-(B13*2)</x:f>
        <x:v>0</x:v>
      </x:c>
      <x:c r="K13" s="4" t="str">
        <x:f>IF(J13=0,"E",J13)</x:f>
        <x:v>E</x:v>
      </x:c>
      <x:c r="N13">
        <x:f>Scorecard!E13</x:f>
        <x:v>4</x:v>
      </x:c>
      <x:c r="O13">
        <x:f>Scorecard!F13</x:f>
        <x:v>4</x:v>
      </x:c>
      <x:c r="P13">
        <x:f>Scorecard!G13</x:f>
        <x:v>6</x:v>
      </x:c>
      <x:c r="Q13">
        <x:f>Scorecard!H13</x:f>
        <x:v>6</x:v>
      </x:c>
      <x:c r="R13">
        <x:f>Scorecard!I13</x:f>
        <x:v>4</x:v>
      </x:c>
      <x:c r="S13">
        <x:f>Scorecard!J13</x:f>
        <x:v>3</x:v>
      </x:c>
      <x:c r="T13">
        <x:f>Scorecard!K13</x:f>
        <x:v>4</x:v>
      </x:c>
      <x:c r="U13">
        <x:f>Scorecard!L13</x:f>
        <x:v>4</x:v>
      </x:c>
      <x:c r="V13">
        <x:f>Scorecard!M13</x:f>
        <x:v>4</x:v>
      </x:c>
      <x:c r="W13">
        <x:f>Scorecard!N13</x:f>
        <x:v>5</x:v>
      </x:c>
      <x:c r="X13">
        <x:f>Scorecard!O13</x:f>
        <x:v>4</x:v>
      </x:c>
      <x:c r="Y13">
        <x:f>Scorecard!P13</x:f>
        <x:v>5</x:v>
      </x:c>
    </x:row>
    <x:row r="14">
      <x:c r="A14" s="4" t="n">
        <x:v>11</x:v>
      </x:c>
      <x:c r="B14" s="4" t="n">
        <x:v>5</x:v>
      </x:c>
      <x:c r="C14" s="4">
        <x:f>SMALL(N14:Q14,1)+SMALL(N14:Q14,2)</x:f>
        <x:v>13</x:v>
      </x:c>
      <x:c r="D14" s="4">
        <x:f>C14-(B14*2)</x:f>
        <x:v>3</x:v>
      </x:c>
      <x:c r="E14" s="4">
        <x:f>IF(D14=0,"E",D14)</x:f>
        <x:v>3</x:v>
      </x:c>
      <x:c r="F14" s="4">
        <x:f>SMALL(R14:U14,1)+SMALL(R14:U14,2)</x:f>
        <x:v>9</x:v>
      </x:c>
      <x:c r="G14" s="4">
        <x:f>F14-(B14*2)</x:f>
        <x:v>-1</x:v>
      </x:c>
      <x:c r="H14" s="4">
        <x:f>IF(G14=0,"E",G14)</x:f>
        <x:v>-1</x:v>
      </x:c>
      <x:c r="I14" s="4">
        <x:f>SMALL(V14:Y14,1)+SMALL(V14:Y14,2)</x:f>
        <x:v>11</x:v>
      </x:c>
      <x:c r="J14" s="4">
        <x:f>I14-(B14*2)</x:f>
        <x:v>1</x:v>
      </x:c>
      <x:c r="K14" s="4">
        <x:f>IF(J14=0,"E",J14)</x:f>
        <x:v>1</x:v>
      </x:c>
      <x:c r="N14">
        <x:f>Scorecard!E14</x:f>
        <x:v>7</x:v>
      </x:c>
      <x:c r="O14">
        <x:f>Scorecard!F14</x:f>
        <x:v>7</x:v>
      </x:c>
      <x:c r="P14">
        <x:f>Scorecard!G14</x:f>
        <x:v>8</x:v>
      </x:c>
      <x:c r="Q14">
        <x:f>Scorecard!H14</x:f>
        <x:v>6</x:v>
      </x:c>
      <x:c r="R14">
        <x:f>Scorecard!I14</x:f>
        <x:v>8</x:v>
      </x:c>
      <x:c r="S14">
        <x:f>Scorecard!J14</x:f>
        <x:v>4</x:v>
      </x:c>
      <x:c r="T14">
        <x:f>Scorecard!K14</x:f>
        <x:v>5</x:v>
      </x:c>
      <x:c r="U14">
        <x:f>Scorecard!L14</x:f>
        <x:v>8</x:v>
      </x:c>
      <x:c r="V14">
        <x:f>Scorecard!M14</x:f>
        <x:v>6</x:v>
      </x:c>
      <x:c r="W14">
        <x:f>Scorecard!N14</x:f>
        <x:v>6</x:v>
      </x:c>
      <x:c r="X14">
        <x:f>Scorecard!O14</x:f>
        <x:v>5</x:v>
      </x:c>
      <x:c r="Y14">
        <x:f>Scorecard!P14</x:f>
        <x:v>6</x:v>
      </x:c>
    </x:row>
    <x:row r="15">
      <x:c r="A15" s="4" t="n">
        <x:v>12</x:v>
      </x:c>
      <x:c r="B15" s="4" t="n">
        <x:v>3</x:v>
      </x:c>
      <x:c r="C15" s="4">
        <x:f>SMALL(N15:Q15,1)+SMALL(N15:Q15,2)</x:f>
        <x:v>5</x:v>
      </x:c>
      <x:c r="D15" s="4">
        <x:f>C15-(B15*2)</x:f>
        <x:v>-1</x:v>
      </x:c>
      <x:c r="E15" s="4">
        <x:f>IF(D15=0,"E",D15)</x:f>
        <x:v>-1</x:v>
      </x:c>
      <x:c r="F15" s="4">
        <x:f>SMALL(R15:U15,1)+SMALL(R15:U15,2)</x:f>
        <x:v>7</x:v>
      </x:c>
      <x:c r="G15" s="4">
        <x:f>F15-(B15*2)</x:f>
        <x:v>1</x:v>
      </x:c>
      <x:c r="H15" s="4">
        <x:f>IF(G15=0,"E",G15)</x:f>
        <x:v>1</x:v>
      </x:c>
      <x:c r="I15" s="4">
        <x:f>SMALL(V15:Y15,1)+SMALL(V15:Y15,2)</x:f>
        <x:v>5</x:v>
      </x:c>
      <x:c r="J15" s="4">
        <x:f>I15-(B15*2)</x:f>
        <x:v>-1</x:v>
      </x:c>
      <x:c r="K15" s="4">
        <x:f>IF(J15=0,"E",J15)</x:f>
        <x:v>-1</x:v>
      </x:c>
      <x:c r="N15">
        <x:f>Scorecard!E15</x:f>
        <x:v>3</x:v>
      </x:c>
      <x:c r="O15">
        <x:f>Scorecard!F15</x:f>
        <x:v>3</x:v>
      </x:c>
      <x:c r="P15">
        <x:f>Scorecard!G15</x:f>
        <x:v>3</x:v>
      </x:c>
      <x:c r="Q15">
        <x:f>Scorecard!H15</x:f>
        <x:v>2</x:v>
      </x:c>
      <x:c r="R15">
        <x:f>Scorecard!I15</x:f>
        <x:v>4</x:v>
      </x:c>
      <x:c r="S15">
        <x:f>Scorecard!J15</x:f>
        <x:v>4</x:v>
      </x:c>
      <x:c r="T15">
        <x:f>Scorecard!K15</x:f>
        <x:v>3</x:v>
      </x:c>
      <x:c r="U15">
        <x:f>Scorecard!L15</x:f>
        <x:v>4</x:v>
      </x:c>
      <x:c r="V15">
        <x:f>Scorecard!M15</x:f>
        <x:v>5</x:v>
      </x:c>
      <x:c r="W15">
        <x:f>Scorecard!N15</x:f>
        <x:v>3</x:v>
      </x:c>
      <x:c r="X15">
        <x:f>Scorecard!O15</x:f>
        <x:v>4</x:v>
      </x:c>
      <x:c r="Y15">
        <x:f>Scorecard!P15</x:f>
        <x:v>2</x:v>
      </x:c>
    </x:row>
    <x:row r="16">
      <x:c r="A16" s="4" t="n">
        <x:v>13</x:v>
      </x:c>
      <x:c r="B16" s="4" t="n">
        <x:v>4</x:v>
      </x:c>
      <x:c r="C16" s="4">
        <x:f>SMALL(N16:Q16,1)+SMALL(N16:Q16,2)</x:f>
        <x:v>8</x:v>
      </x:c>
      <x:c r="D16" s="4">
        <x:f>C16-(B16*2)</x:f>
        <x:v>0</x:v>
      </x:c>
      <x:c r="E16" s="4" t="str">
        <x:f>IF(D16=0,"E",D16)</x:f>
        <x:v>E</x:v>
      </x:c>
      <x:c r="F16" s="4">
        <x:f>SMALL(R16:U16,1)+SMALL(R16:U16,2)</x:f>
        <x:v>9</x:v>
      </x:c>
      <x:c r="G16" s="4">
        <x:f>F16-(B16*2)</x:f>
        <x:v>1</x:v>
      </x:c>
      <x:c r="H16" s="4">
        <x:f>IF(G16=0,"E",G16)</x:f>
        <x:v>1</x:v>
      </x:c>
      <x:c r="I16" s="4">
        <x:f>SMALL(V16:Y16,1)+SMALL(V16:Y16,2)</x:f>
        <x:v>6</x:v>
      </x:c>
      <x:c r="J16" s="4">
        <x:f>I16-(B16*2)</x:f>
        <x:v>-2</x:v>
      </x:c>
      <x:c r="K16" s="4">
        <x:f>IF(J16=0,"E",J16)</x:f>
        <x:v>-2</x:v>
      </x:c>
      <x:c r="N16">
        <x:f>Scorecard!E16</x:f>
        <x:v>4</x:v>
      </x:c>
      <x:c r="O16">
        <x:f>Scorecard!F16</x:f>
        <x:v>6</x:v>
      </x:c>
      <x:c r="P16">
        <x:f>Scorecard!G16</x:f>
        <x:v>4</x:v>
      </x:c>
      <x:c r="Q16">
        <x:f>Scorecard!H16</x:f>
        <x:v>4</x:v>
      </x:c>
      <x:c r="R16">
        <x:f>Scorecard!I16</x:f>
        <x:v>5</x:v>
      </x:c>
      <x:c r="S16">
        <x:f>Scorecard!J16</x:f>
        <x:v>4</x:v>
      </x:c>
      <x:c r="T16">
        <x:f>Scorecard!K16</x:f>
        <x:v>6</x:v>
      </x:c>
      <x:c r="U16">
        <x:f>Scorecard!L16</x:f>
        <x:v>6</x:v>
      </x:c>
      <x:c r="V16">
        <x:f>Scorecard!M16</x:f>
        <x:v>3</x:v>
      </x:c>
      <x:c r="W16">
        <x:f>Scorecard!N16</x:f>
        <x:v>5</x:v>
      </x:c>
      <x:c r="X16">
        <x:f>Scorecard!O16</x:f>
        <x:v>6</x:v>
      </x:c>
      <x:c r="Y16">
        <x:f>Scorecard!P16</x:f>
        <x:v>3</x:v>
      </x:c>
    </x:row>
    <x:row r="17">
      <x:c r="A17" s="4" t="n">
        <x:v>14</x:v>
      </x:c>
      <x:c r="B17" s="4" t="n">
        <x:v>4</x:v>
      </x:c>
      <x:c r="C17" s="4">
        <x:f>SMALL(N17:Q17,1)+SMALL(N17:Q17,2)</x:f>
        <x:v>8</x:v>
      </x:c>
      <x:c r="D17" s="4">
        <x:f>C17-(B17*2)</x:f>
        <x:v>0</x:v>
      </x:c>
      <x:c r="E17" s="4" t="str">
        <x:f>IF(D17=0,"E",D17)</x:f>
        <x:v>E</x:v>
      </x:c>
      <x:c r="F17" s="4">
        <x:f>SMALL(R17:U17,1)+SMALL(R17:U17,2)</x:f>
        <x:v>7</x:v>
      </x:c>
      <x:c r="G17" s="4">
        <x:f>F17-(B17*2)</x:f>
        <x:v>-1</x:v>
      </x:c>
      <x:c r="H17" s="4">
        <x:f>IF(G17=0,"E",G17)</x:f>
        <x:v>-1</x:v>
      </x:c>
      <x:c r="I17" s="4">
        <x:f>SMALL(V17:Y17,1)+SMALL(V17:Y17,2)</x:f>
        <x:v>8</x:v>
      </x:c>
      <x:c r="J17" s="4">
        <x:f>I17-(B17*2)</x:f>
        <x:v>0</x:v>
      </x:c>
      <x:c r="K17" s="4" t="str">
        <x:f>IF(J17=0,"E",J17)</x:f>
        <x:v>E</x:v>
      </x:c>
      <x:c r="N17">
        <x:f>Scorecard!E17</x:f>
        <x:v>4</x:v>
      </x:c>
      <x:c r="O17">
        <x:f>Scorecard!F17</x:f>
        <x:v>5</x:v>
      </x:c>
      <x:c r="P17">
        <x:f>Scorecard!G17</x:f>
        <x:v>4</x:v>
      </x:c>
      <x:c r="Q17">
        <x:f>Scorecard!H17</x:f>
        <x:v>4</x:v>
      </x:c>
      <x:c r="R17">
        <x:f>Scorecard!I17</x:f>
        <x:v>3</x:v>
      </x:c>
      <x:c r="S17">
        <x:f>Scorecard!J17</x:f>
        <x:v>4</x:v>
      </x:c>
      <x:c r="T17">
        <x:f>Scorecard!K17</x:f>
        <x:v>4</x:v>
      </x:c>
      <x:c r="U17">
        <x:f>Scorecard!L17</x:f>
        <x:v>4</x:v>
      </x:c>
      <x:c r="V17">
        <x:f>Scorecard!M17</x:f>
        <x:v>6</x:v>
      </x:c>
      <x:c r="W17">
        <x:f>Scorecard!N17</x:f>
        <x:v>4</x:v>
      </x:c>
      <x:c r="X17">
        <x:f>Scorecard!O17</x:f>
        <x:v>6</x:v>
      </x:c>
      <x:c r="Y17">
        <x:f>Scorecard!P17</x:f>
        <x:v>4</x:v>
      </x:c>
    </x:row>
    <x:row r="18">
      <x:c r="A18" s="4" t="n">
        <x:v>15</x:v>
      </x:c>
      <x:c r="B18" s="4" t="n">
        <x:v>3</x:v>
      </x:c>
      <x:c r="C18" s="4">
        <x:f>SMALL(N18:Q18,1)+SMALL(N18:Q18,2)</x:f>
        <x:v>6</x:v>
      </x:c>
      <x:c r="D18" s="4">
        <x:f>C18-(B18*2)</x:f>
        <x:v>0</x:v>
      </x:c>
      <x:c r="E18" s="4" t="str">
        <x:f>IF(D18=0,"E",D18)</x:f>
        <x:v>E</x:v>
      </x:c>
      <x:c r="F18" s="4">
        <x:f>SMALL(R18:U18,1)+SMALL(R18:U18,2)</x:f>
        <x:v>6</x:v>
      </x:c>
      <x:c r="G18" s="4">
        <x:f>F18-(B18*2)</x:f>
        <x:v>0</x:v>
      </x:c>
      <x:c r="H18" s="4" t="str">
        <x:f>IF(G18=0,"E",G18)</x:f>
        <x:v>E</x:v>
      </x:c>
      <x:c r="I18" s="4">
        <x:f>SMALL(V18:Y18,1)+SMALL(V18:Y18,2)</x:f>
        <x:v>6</x:v>
      </x:c>
      <x:c r="J18" s="4">
        <x:f>I18-(B18*2)</x:f>
        <x:v>0</x:v>
      </x:c>
      <x:c r="K18" s="4" t="str">
        <x:f>IF(J18=0,"E",J18)</x:f>
        <x:v>E</x:v>
      </x:c>
      <x:c r="N18">
        <x:f>Scorecard!E18</x:f>
        <x:v>3</x:v>
      </x:c>
      <x:c r="O18">
        <x:f>Scorecard!F18</x:f>
        <x:v>4</x:v>
      </x:c>
      <x:c r="P18">
        <x:f>Scorecard!G18</x:f>
        <x:v>3</x:v>
      </x:c>
      <x:c r="Q18">
        <x:f>Scorecard!H18</x:f>
        <x:v>4</x:v>
      </x:c>
      <x:c r="R18">
        <x:f>Scorecard!I18</x:f>
        <x:v>3</x:v>
      </x:c>
      <x:c r="S18">
        <x:f>Scorecard!J18</x:f>
        <x:v>3</x:v>
      </x:c>
      <x:c r="T18">
        <x:f>Scorecard!K18</x:f>
        <x:v>4</x:v>
      </x:c>
      <x:c r="U18">
        <x:f>Scorecard!L18</x:f>
        <x:v>5</x:v>
      </x:c>
      <x:c r="V18">
        <x:f>Scorecard!M18</x:f>
        <x:v>4</x:v>
      </x:c>
      <x:c r="W18">
        <x:f>Scorecard!N18</x:f>
        <x:v>3</x:v>
      </x:c>
      <x:c r="X18">
        <x:f>Scorecard!O18</x:f>
        <x:v>3</x:v>
      </x:c>
      <x:c r="Y18">
        <x:f>Scorecard!P18</x:f>
        <x:v>4</x:v>
      </x:c>
    </x:row>
    <x:row r="19">
      <x:c r="A19" s="4" t="n">
        <x:v>16</x:v>
      </x:c>
      <x:c r="B19" s="4" t="n">
        <x:v>4</x:v>
      </x:c>
      <x:c r="C19" s="4">
        <x:f>SMALL(N19:Q19,1)+SMALL(N19:Q19,2)</x:f>
        <x:v>8</x:v>
      </x:c>
      <x:c r="D19" s="4">
        <x:f>C19-(B19*2)</x:f>
        <x:v>0</x:v>
      </x:c>
      <x:c r="E19" s="4" t="str">
        <x:f>IF(D19=0,"E",D19)</x:f>
        <x:v>E</x:v>
      </x:c>
      <x:c r="F19" s="4">
        <x:f>SMALL(R19:U19,1)+SMALL(R19:U19,2)</x:f>
        <x:v>10</x:v>
      </x:c>
      <x:c r="G19" s="4">
        <x:f>F19-(B19*2)</x:f>
        <x:v>2</x:v>
      </x:c>
      <x:c r="H19" s="4">
        <x:f>IF(G19=0,"E",G19)</x:f>
        <x:v>2</x:v>
      </x:c>
      <x:c r="I19" s="4">
        <x:f>SMALL(V19:Y19,1)+SMALL(V19:Y19,2)</x:f>
        <x:v>8</x:v>
      </x:c>
      <x:c r="J19" s="4">
        <x:f>I19-(B19*2)</x:f>
        <x:v>0</x:v>
      </x:c>
      <x:c r="K19" s="4" t="str">
        <x:f>IF(J19=0,"E",J19)</x:f>
        <x:v>E</x:v>
      </x:c>
      <x:c r="N19">
        <x:f>Scorecard!E19</x:f>
        <x:v>4</x:v>
      </x:c>
      <x:c r="O19">
        <x:f>Scorecard!F19</x:f>
        <x:v>4</x:v>
      </x:c>
      <x:c r="P19">
        <x:f>Scorecard!G19</x:f>
        <x:v>5</x:v>
      </x:c>
      <x:c r="Q19">
        <x:f>Scorecard!H19</x:f>
        <x:v>5</x:v>
      </x:c>
      <x:c r="R19">
        <x:f>Scorecard!I19</x:f>
        <x:v>6</x:v>
      </x:c>
      <x:c r="S19">
        <x:f>Scorecard!J19</x:f>
        <x:v>6</x:v>
      </x:c>
      <x:c r="T19">
        <x:f>Scorecard!K19</x:f>
        <x:v>6</x:v>
      </x:c>
      <x:c r="U19">
        <x:f>Scorecard!L19</x:f>
        <x:v>4</x:v>
      </x:c>
      <x:c r="V19">
        <x:f>Scorecard!M19</x:f>
        <x:v>4</x:v>
      </x:c>
      <x:c r="W19">
        <x:f>Scorecard!N19</x:f>
        <x:v>4</x:v>
      </x:c>
      <x:c r="X19">
        <x:f>Scorecard!O19</x:f>
        <x:v>4</x:v>
      </x:c>
      <x:c r="Y19">
        <x:f>Scorecard!P19</x:f>
        <x:v>5</x:v>
      </x:c>
    </x:row>
    <x:row r="20">
      <x:c r="A20" s="4" t="n">
        <x:v>17</x:v>
      </x:c>
      <x:c r="B20" s="4" t="n">
        <x:v>5</x:v>
      </x:c>
      <x:c r="C20" s="4">
        <x:f>SMALL(N20:Q20,1)+SMALL(N20:Q20,2)</x:f>
        <x:v>9</x:v>
      </x:c>
      <x:c r="D20" s="4">
        <x:f>C20-(B20*2)</x:f>
        <x:v>-1</x:v>
      </x:c>
      <x:c r="E20" s="4">
        <x:f>IF(D20=0,"E",D20)</x:f>
        <x:v>-1</x:v>
      </x:c>
      <x:c r="F20" s="4">
        <x:f>SMALL(R20:U20,1)+SMALL(R20:U20,2)</x:f>
        <x:v>8</x:v>
      </x:c>
      <x:c r="G20" s="4">
        <x:f>F20-(B20*2)</x:f>
        <x:v>-2</x:v>
      </x:c>
      <x:c r="H20" s="4">
        <x:f>IF(G20=0,"E",G20)</x:f>
        <x:v>-2</x:v>
      </x:c>
      <x:c r="I20" s="4">
        <x:f>SMALL(V20:Y20,1)+SMALL(V20:Y20,2)</x:f>
        <x:v>9</x:v>
      </x:c>
      <x:c r="J20" s="4">
        <x:f>I20-(B20*2)</x:f>
        <x:v>-1</x:v>
      </x:c>
      <x:c r="K20" s="4">
        <x:f>IF(J20=0,"E",J20)</x:f>
        <x:v>-1</x:v>
      </x:c>
      <x:c r="N20">
        <x:f>Scorecard!E20</x:f>
        <x:v>4</x:v>
      </x:c>
      <x:c r="O20">
        <x:f>Scorecard!F20</x:f>
        <x:v>8</x:v>
      </x:c>
      <x:c r="P20">
        <x:f>Scorecard!G20</x:f>
        <x:v>5</x:v>
      </x:c>
      <x:c r="Q20">
        <x:f>Scorecard!H20</x:f>
        <x:v>5</x:v>
      </x:c>
      <x:c r="R20">
        <x:f>Scorecard!I20</x:f>
        <x:v>4</x:v>
      </x:c>
      <x:c r="S20">
        <x:f>Scorecard!J20</x:f>
        <x:v>5</x:v>
      </x:c>
      <x:c r="T20">
        <x:f>Scorecard!K20</x:f>
        <x:v>4</x:v>
      </x:c>
      <x:c r="U20">
        <x:f>Scorecard!L20</x:f>
        <x:v>5</x:v>
      </x:c>
      <x:c r="V20">
        <x:f>Scorecard!M20</x:f>
        <x:v>5</x:v>
      </x:c>
      <x:c r="W20">
        <x:f>Scorecard!N20</x:f>
        <x:v>4</x:v>
      </x:c>
      <x:c r="X20">
        <x:f>Scorecard!O20</x:f>
        <x:v>6</x:v>
      </x:c>
      <x:c r="Y20">
        <x:f>Scorecard!P20</x:f>
        <x:v>5</x:v>
      </x:c>
    </x:row>
    <x:row r="21">
      <x:c r="A21" s="4" t="n">
        <x:v>18</x:v>
      </x:c>
      <x:c r="B21" s="4" t="n">
        <x:v>4</x:v>
      </x:c>
      <x:c r="C21" s="4">
        <x:f>SMALL(N21:Q21,1)+SMALL(N21:Q21,2)</x:f>
        <x:v>8</x:v>
      </x:c>
      <x:c r="D21" s="4">
        <x:f>C21-(B21*2)</x:f>
        <x:v>0</x:v>
      </x:c>
      <x:c r="E21" s="4" t="str">
        <x:f>IF(D21=0,"E",D21)</x:f>
        <x:v>E</x:v>
      </x:c>
      <x:c r="F21" s="4">
        <x:f>SMALL(R21:U21,1)+SMALL(R21:U21,2)</x:f>
        <x:v>8</x:v>
      </x:c>
      <x:c r="G21" s="4">
        <x:f>F21-(B21*2)</x:f>
        <x:v>0</x:v>
      </x:c>
      <x:c r="H21" s="4" t="str">
        <x:f>IF(G21=0,"E",G21)</x:f>
        <x:v>E</x:v>
      </x:c>
      <x:c r="I21" s="4">
        <x:f>SMALL(V21:Y21,1)+SMALL(V21:Y21,2)</x:f>
        <x:v>8</x:v>
      </x:c>
      <x:c r="J21" s="4">
        <x:f>I21-(B21*2)</x:f>
        <x:v>0</x:v>
      </x:c>
      <x:c r="K21" s="4" t="str">
        <x:f>IF(J21=0,"E",J21)</x:f>
        <x:v>E</x:v>
      </x:c>
      <x:c r="N21">
        <x:f>Scorecard!E21</x:f>
        <x:v>6</x:v>
      </x:c>
      <x:c r="O21">
        <x:f>Scorecard!F21</x:f>
        <x:v>4</x:v>
      </x:c>
      <x:c r="P21">
        <x:f>Scorecard!G21</x:f>
        <x:v>4</x:v>
      </x:c>
      <x:c r="Q21">
        <x:f>Scorecard!H21</x:f>
        <x:v>6</x:v>
      </x:c>
      <x:c r="R21">
        <x:f>Scorecard!I21</x:f>
        <x:v>4</x:v>
      </x:c>
      <x:c r="S21">
        <x:f>Scorecard!J21</x:f>
        <x:v>6</x:v>
      </x:c>
      <x:c r="T21">
        <x:f>Scorecard!K21</x:f>
        <x:v>4</x:v>
      </x:c>
      <x:c r="U21">
        <x:f>Scorecard!L21</x:f>
        <x:v>6</x:v>
      </x:c>
      <x:c r="V21">
        <x:f>Scorecard!M21</x:f>
        <x:v>4</x:v>
      </x:c>
      <x:c r="W21">
        <x:f>Scorecard!N21</x:f>
        <x:v>6</x:v>
      </x:c>
      <x:c r="X21">
        <x:f>Scorecard!O21</x:f>
        <x:v>5</x:v>
      </x:c>
      <x:c r="Y21">
        <x:f>Scorecard!P21</x:f>
        <x:v>4</x:v>
      </x:c>
    </x:row>
    <x:row r="22">
      <x:c r="C22" s="9" t="inlineStr">
        <x:is>
          <x:t xml:space="preserve">Team A</x:t>
        </x:is>
      </x:c>
      <x:c r="F22" s="9" t="inlineStr">
        <x:is>
          <x:t xml:space="preserve">Team B</x:t>
        </x:is>
      </x:c>
      <x:c r="I22" s="9" t="inlineStr">
        <x:is>
          <x:t xml:space="preserve">Team C</x:t>
        </x:is>
      </x:c>
    </x:row>
    <x:row r="23">
      <x:c r="A23" s="10" t="inlineStr">
        <x:is>
          <x:t xml:space="preserve">Front 9 Total To Par</x:t>
        </x:is>
      </x:c>
      <x:c r="B23" s="3" t="n"/>
      <x:c r="C23" s="3" t="n"/>
      <x:c r="D23" s="4">
        <x:f>SUM(D4:D12)</x:f>
        <x:v>-1</x:v>
      </x:c>
      <x:c r="E23" s="4">
        <x:f>IF(D23=0,"E",D23)</x:f>
        <x:v>-1</x:v>
      </x:c>
      <x:c r="F23" s="3" t="n"/>
      <x:c r="G23" s="4">
        <x:f>SUM(G4:G12)</x:f>
        <x:v>0</x:v>
      </x:c>
      <x:c r="H23" s="4" t="str">
        <x:f>IF(G23=0,"E",G23)</x:f>
        <x:v>E</x:v>
      </x:c>
      <x:c r="I23" s="3" t="n"/>
      <x:c r="J23" s="4">
        <x:f>SUM(J4:J12)</x:f>
        <x:v>0</x:v>
      </x:c>
      <x:c r="K23" s="4" t="str">
        <x:f>IF(J23=0,"E",J23)</x:f>
        <x:v>E</x:v>
      </x:c>
    </x:row>
    <x:row r="24">
      <x:c r="A24" s="10" t="inlineStr">
        <x:is>
          <x:t xml:space="preserve">Back 9 Total To Par</x:t>
        </x:is>
      </x:c>
      <x:c r="B24" s="3" t="n"/>
      <x:c r="C24" s="3" t="n"/>
      <x:c r="D24" s="4">
        <x:f>SUM(D13:D21)</x:f>
        <x:v>1</x:v>
      </x:c>
      <x:c r="E24" s="4">
        <x:f>IF(D24=0,"E",D24)</x:f>
        <x:v>1</x:v>
      </x:c>
      <x:c r="F24" s="3" t="n"/>
      <x:c r="G24" s="4">
        <x:f>SUM(G13:G21)</x:f>
        <x:v>-1</x:v>
      </x:c>
      <x:c r="H24" s="4">
        <x:f>IF(G24=0,"E",G24)</x:f>
        <x:v>-1</x:v>
      </x:c>
      <x:c r="I24" s="3" t="n"/>
      <x:c r="J24" s="4">
        <x:f>SUM(J13:J21)</x:f>
        <x:v>-3</x:v>
      </x:c>
      <x:c r="K24" s="4">
        <x:f>IF(J24=0,"E",J24)</x:f>
        <x:v>-3</x:v>
      </x:c>
    </x:row>
    <x:row r="25">
      <x:c r="A25" s="10" t="inlineStr">
        <x:is>
          <x:t xml:space="preserve">Total 18 To Par</x:t>
        </x:is>
      </x:c>
      <x:c r="B25" s="3" t="n"/>
      <x:c r="C25" s="3" t="n"/>
      <x:c r="D25" s="4">
        <x:f>D23+D24</x:f>
        <x:v>0</x:v>
      </x:c>
      <x:c r="E25" s="4" t="str">
        <x:f>IF(D25=0,"E",D25)</x:f>
        <x:v>E</x:v>
      </x:c>
      <x:c r="F25" s="3" t="n"/>
      <x:c r="G25" s="4">
        <x:f>G23+G24</x:f>
        <x:v>-1</x:v>
      </x:c>
      <x:c r="H25" s="4">
        <x:f>IF(G25=0,"E",G25)</x:f>
        <x:v>-1</x:v>
      </x:c>
      <x:c r="I25" s="3" t="n"/>
      <x:c r="J25" s="4">
        <x:f>J23+J24</x:f>
        <x:v>-3</x:v>
      </x:c>
      <x:c r="K25" s="4">
        <x:f>IF(J25=0,"E",J25)</x:f>
        <x:v>-3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customWidth="1"/>
    <x:col min="2" max="2" width="14" customWidth="1"/>
    <x:col min="3" max="3" width="14" customWidth="1"/>
    <x:col min="4" max="4" width="14" customWidth="1"/>
    <x:col min="5" max="5" width="8" customWidth="1"/>
    <x:col min="6" max="6" width="7" customWidth="1"/>
    <x:col min="7" max="7" width="20" customWidth="1"/>
    <x:col min="8" max="8" width="10" customWidth="1"/>
    <x:col min="9" max="9" width="12" customWidth="1"/>
    <x:col min="10" max="10" width="12" customWidth="1"/>
    <x:col min="11" max="11" width="12" customWidth="1"/>
    <x:col min="12" max="12" width="13" customWidth="1"/>
    <x:col min="13" max="13" width="13" customWidth="1"/>
    <x:col min="14" max="14" width="13" customWidth="1"/>
  </x:cols>
  <x:sheetData>
    <x:row r="1">
      <x:c r="A1" s="5" t="inlineStr">
        <x:is>
          <x:t xml:space="preserve">Nassau — 3 Teams vs Field</x:t>
        </x:is>
      </x:c>
    </x:row>
    <x:row r="3">
      <x:c r="A3" s="2" t="inlineStr">
        <x:is>
          <x:t xml:space="preserve">Segment</x:t>
        </x:is>
      </x:c>
      <x:c r="B3" s="2" t="inlineStr">
        <x:is>
          <x:t xml:space="preserve">Team A To Par</x:t>
        </x:is>
      </x:c>
      <x:c r="C3" s="2" t="inlineStr">
        <x:is>
          <x:t xml:space="preserve">Team B To Par</x:t>
        </x:is>
      </x:c>
      <x:c r="D3" s="2" t="inlineStr">
        <x:is>
          <x:t xml:space="preserve">Team C To Par</x:t>
        </x:is>
      </x:c>
      <x:c r="E3" s="2" t="inlineStr">
        <x:is>
          <x:t xml:space="preserve">Low</x:t>
        </x:is>
      </x:c>
      <x:c r="F3" s="2" t="inlineStr">
        <x:is>
          <x:t xml:space="preserve">Tie Ct</x:t>
        </x:is>
      </x:c>
      <x:c r="G3" s="2" t="inlineStr">
        <x:is>
          <x:t xml:space="preserve">Winner(s)</x:t>
        </x:is>
      </x:c>
      <x:c r="H3" s="2" t="inlineStr">
        <x:is>
          <x:t xml:space="preserve">Pot</x:t>
        </x:is>
      </x:c>
      <x:c r="I3" s="2" t="inlineStr">
        <x:is>
          <x:t xml:space="preserve">Team A Net</x:t>
        </x:is>
      </x:c>
      <x:c r="J3" s="2" t="inlineStr">
        <x:is>
          <x:t xml:space="preserve">Team B Net</x:t>
        </x:is>
      </x:c>
      <x:c r="K3" s="2" t="inlineStr">
        <x:is>
          <x:t xml:space="preserve">Team C Net</x:t>
        </x:is>
      </x:c>
    </x:row>
    <x:row r="4">
      <x:c r="A4" s="11" t="inlineStr">
        <x:is>
          <x:t xml:space="preserve">Front 9</x:t>
        </x:is>
      </x:c>
      <x:c r="B4" s="4">
        <x:f>'Team Best 2'!D23</x:f>
        <x:v>-1</x:v>
      </x:c>
      <x:c r="C4" s="4">
        <x:f>'Team Best 2'!G23</x:f>
        <x:v>0</x:v>
      </x:c>
      <x:c r="D4" s="4">
        <x:f>'Team Best 2'!J23</x:f>
        <x:v>0</x:v>
      </x:c>
      <x:c r="E4" s="4">
        <x:f>MIN(B4:D4)</x:f>
        <x:v>-1</x:v>
      </x:c>
      <x:c r="F4" s="4">
        <x:f>COUNTIF(B4:D4,E4)</x:f>
        <x:v>1</x:v>
      </x:c>
      <x:c r="G4" s="4" t="str">
        <x:f>IF(F4=3,"Push",IF(F4=1,IF(L4=1,"Team A",IF(M4=1,"Team B","Team C")),IF(AND(L4=1,M4=1),"Team A &amp; Team B",IF(AND(L4=1,N4=1),"Team A &amp; Team C","Team B &amp; Team C"))))</x:f>
        <x:v>Team A</x:v>
      </x:c>
      <x:c r="H4" s="12">
        <x:f>Setup!B3*3</x:f>
        <x:v>45</x:v>
      </x:c>
      <x:c r="I4" s="12">
        <x:f>IF(F4=3,0,IF(L4=1,(H4/F4)-Setup!B3,-Setup!B3))</x:f>
        <x:v>30</x:v>
      </x:c>
      <x:c r="J4" s="12">
        <x:f>IF(F4=3,0,IF(M4=1,(H4/F4)-Setup!B3,-Setup!B3))</x:f>
        <x:v>-15</x:v>
      </x:c>
      <x:c r="K4" s="12">
        <x:f>IF(F4=3,0,IF(N4=1,(H4/F4)-Setup!B3,-Setup!B3))</x:f>
        <x:v>-15</x:v>
      </x:c>
      <x:c r="L4">
        <x:f>IF(B4=E4,1,0)</x:f>
        <x:v>1</x:v>
      </x:c>
      <x:c r="M4">
        <x:f>IF(C4=E4,1,0)</x:f>
        <x:v>0</x:v>
      </x:c>
      <x:c r="N4">
        <x:f>IF(D4=E4,1,0)</x:f>
        <x:v>0</x:v>
      </x:c>
    </x:row>
    <x:row r="5">
      <x:c r="A5" s="11" t="inlineStr">
        <x:is>
          <x:t xml:space="preserve">Back 9</x:t>
        </x:is>
      </x:c>
      <x:c r="B5" s="4">
        <x:f>'Team Best 2'!D24</x:f>
        <x:v>1</x:v>
      </x:c>
      <x:c r="C5" s="4">
        <x:f>'Team Best 2'!G24</x:f>
        <x:v>-1</x:v>
      </x:c>
      <x:c r="D5" s="4">
        <x:f>'Team Best 2'!J24</x:f>
        <x:v>-3</x:v>
      </x:c>
      <x:c r="E5" s="4">
        <x:f>MIN(B5:D5)</x:f>
        <x:v>-3</x:v>
      </x:c>
      <x:c r="F5" s="4">
        <x:f>COUNTIF(B5:D5,E5)</x:f>
        <x:v>1</x:v>
      </x:c>
      <x:c r="G5" s="4" t="str">
        <x:f>IF(F5=3,"Push",IF(F5=1,IF(L5=1,"Team A",IF(M5=1,"Team B","Team C")),IF(AND(L5=1,M5=1),"Team A &amp; Team B",IF(AND(L5=1,N5=1),"Team A &amp; Team C","Team B &amp; Team C"))))</x:f>
        <x:v>Team C</x:v>
      </x:c>
      <x:c r="H5" s="12">
        <x:f>Setup!B3*3</x:f>
        <x:v>45</x:v>
      </x:c>
      <x:c r="I5" s="12">
        <x:f>IF(F5=3,0,IF(L5=1,(H5/F5)-Setup!B3,-Setup!B3))</x:f>
        <x:v>-15</x:v>
      </x:c>
      <x:c r="J5" s="12">
        <x:f>IF(F5=3,0,IF(M5=1,(H5/F5)-Setup!B3,-Setup!B3))</x:f>
        <x:v>-15</x:v>
      </x:c>
      <x:c r="K5" s="12">
        <x:f>IF(F5=3,0,IF(N5=1,(H5/F5)-Setup!B3,-Setup!B3))</x:f>
        <x:v>30</x:v>
      </x:c>
      <x:c r="L5">
        <x:f>IF(B5=E5,1,0)</x:f>
        <x:v>0</x:v>
      </x:c>
      <x:c r="M5">
        <x:f>IF(C5=E5,1,0)</x:f>
        <x:v>0</x:v>
      </x:c>
      <x:c r="N5">
        <x:f>IF(D5=E5,1,0)</x:f>
        <x:v>1</x:v>
      </x:c>
    </x:row>
    <x:row r="6">
      <x:c r="A6" s="11" t="inlineStr">
        <x:is>
          <x:t xml:space="preserve">Total 18</x:t>
        </x:is>
      </x:c>
      <x:c r="B6" s="4">
        <x:f>'Team Best 2'!D25</x:f>
        <x:v>0</x:v>
      </x:c>
      <x:c r="C6" s="4">
        <x:f>'Team Best 2'!G25</x:f>
        <x:v>-1</x:v>
      </x:c>
      <x:c r="D6" s="4">
        <x:f>'Team Best 2'!J25</x:f>
        <x:v>-3</x:v>
      </x:c>
      <x:c r="E6" s="4">
        <x:f>MIN(B6:D6)</x:f>
        <x:v>-3</x:v>
      </x:c>
      <x:c r="F6" s="4">
        <x:f>COUNTIF(B6:D6,E6)</x:f>
        <x:v>1</x:v>
      </x:c>
      <x:c r="G6" s="4" t="str">
        <x:f>IF(F6=3,"Push",IF(F6=1,IF(L6=1,"Team A",IF(M6=1,"Team B","Team C")),IF(AND(L6=1,M6=1),"Team A &amp; Team B",IF(AND(L6=1,N6=1),"Team A &amp; Team C","Team B &amp; Team C"))))</x:f>
        <x:v>Team C</x:v>
      </x:c>
      <x:c r="H6" s="12">
        <x:f>Setup!B3*3</x:f>
        <x:v>45</x:v>
      </x:c>
      <x:c r="I6" s="12">
        <x:f>IF(F6=3,0,IF(L6=1,(H6/F6)-Setup!B3,-Setup!B3))</x:f>
        <x:v>-15</x:v>
      </x:c>
      <x:c r="J6" s="12">
        <x:f>IF(F6=3,0,IF(M6=1,(H6/F6)-Setup!B3,-Setup!B3))</x:f>
        <x:v>-15</x:v>
      </x:c>
      <x:c r="K6" s="12">
        <x:f>IF(F6=3,0,IF(N6=1,(H6/F6)-Setup!B3,-Setup!B3))</x:f>
        <x:v>30</x:v>
      </x:c>
      <x:c r="L6">
        <x:f>IF(B6=E6,1,0)</x:f>
        <x:v>0</x:v>
      </x:c>
      <x:c r="M6">
        <x:f>IF(C6=E6,1,0)</x:f>
        <x:v>0</x:v>
      </x:c>
      <x:c r="N6">
        <x:f>IF(D6=E6,1,0)</x:f>
        <x:v>1</x:v>
      </x:c>
    </x:row>
    <x:row r="8">
      <x:c r="A8" s="10" t="inlineStr">
        <x:is>
          <x:t xml:space="preserve">Net Total</x:t>
        </x:is>
      </x:c>
      <x:c r="B8" s="3" t="n"/>
      <x:c r="C8" s="3" t="n"/>
      <x:c r="D8" s="3" t="n"/>
      <x:c r="E8" s="3" t="n"/>
      <x:c r="F8" s="3" t="n"/>
      <x:c r="G8" s="3" t="n"/>
      <x:c r="H8" s="3" t="n"/>
      <x:c r="I8" s="13">
        <x:f>SUM(I4:I6)</x:f>
        <x:v>0</x:v>
      </x:c>
      <x:c r="J8" s="13">
        <x:f>SUM(J4:J6)</x:f>
        <x:v>-45</x:v>
      </x:c>
      <x:c r="K8" s="13">
        <x:f>SUM(K4:K6)</x:f>
        <x:v>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10" customWidth="1"/>
    <x:col min="3" max="3" width="12" customWidth="1"/>
    <x:col min="4" max="4" width="16" customWidth="1"/>
    <x:col min="5" max="5" width="18" customWidth="1"/>
    <x:col min="6" max="6" width="8" customWidth="1"/>
    <x:col min="8" max="8" width="13" customWidth="1"/>
  </x:cols>
  <x:sheetData>
    <x:row r="1">
      <x:c r="A1" s="5" t="inlineStr">
        <x:is>
          <x:t xml:space="preserve">Skins (Gross) — 12 Players</x:t>
        </x:is>
      </x:c>
    </x:row>
    <x:row r="3">
      <x:c r="A3" s="6" t="inlineStr">
        <x:is>
          <x:t xml:space="preserve">Buy-in per player</x:t>
        </x:is>
      </x:c>
      <x:c r="B3" s="14">
        <x:f>Setup!B4</x:f>
        <x:v>10</x:v>
      </x:c>
    </x:row>
    <x:row r="4">
      <x:c r="A4" s="6" t="inlineStr">
        <x:is>
          <x:t xml:space="preserve">Players</x:t>
        </x:is>
      </x:c>
      <x:c r="B4">
        <x:f>Setup!B5</x:f>
        <x:v>12</x:v>
      </x:c>
    </x:row>
    <x:row r="5">
      <x:c r="A5" s="6" t="inlineStr">
        <x:is>
          <x:t xml:space="preserve">Pot</x:t>
        </x:is>
      </x:c>
      <x:c r="B5" s="14">
        <x:f>B3*B4</x:f>
        <x:v>120</x:v>
      </x:c>
    </x:row>
    <x:row r="6">
      <x:c r="A6" s="6" t="inlineStr">
        <x:is>
          <x:t xml:space="preserve">Total Skins</x:t>
        </x:is>
      </x:c>
      <x:c r="B6">
        <x:f>SUM(F10:F27)</x:f>
        <x:v>7</x:v>
      </x:c>
    </x:row>
    <x:row r="7">
      <x:c r="A7" s="6" t="inlineStr">
        <x:is>
          <x:t xml:space="preserve">Value per Skin</x:t>
        </x:is>
      </x:c>
      <x:c r="B7" s="15">
        <x:f>IF(B6=0,0,B5/B6)</x:f>
        <x:v>17.142857142857142</x:v>
      </x:c>
    </x:row>
    <x:row r="9">
      <x:c r="A9" s="2" t="inlineStr">
        <x:is>
          <x:t xml:space="preserve">Hole</x:t>
        </x:is>
      </x:c>
      <x:c r="B9" s="2" t="inlineStr">
        <x:is>
          <x:t xml:space="preserve">Par</x:t>
        </x:is>
      </x:c>
      <x:c r="C9" s="2" t="inlineStr">
        <x:is>
          <x:t xml:space="preserve">Low Score</x:t>
        </x:is>
      </x:c>
      <x:c r="D9" s="2" t="inlineStr">
        <x:is>
          <x:t xml:space="preserve">Low Count</x:t>
        </x:is>
      </x:c>
      <x:c r="E9" s="2" t="inlineStr">
        <x:is>
          <x:t xml:space="preserve">Winner</x:t>
        </x:is>
      </x:c>
      <x:c r="F9" s="2" t="inlineStr">
        <x:is>
          <x:t xml:space="preserve">Skin?</x:t>
        </x:is>
      </x:c>
      <x:c r="H9" s="7" t="inlineStr">
        <x:is>
          <x:t xml:space="preserve">Names</x:t>
        </x:is>
      </x:c>
    </x:row>
    <x:row r="10">
      <x:c r="A10" s="4" t="n">
        <x:v>1</x:v>
      </x:c>
      <x:c r="B10" s="4" t="n">
        <x:v>4</x:v>
      </x:c>
      <x:c r="C10" s="4">
        <x:f>MIN(Scorecard!E4:P4)</x:f>
        <x:v>3</x:v>
      </x:c>
      <x:c r="D10" s="4">
        <x:f>COUNTIF(Scorecard!E4:P4,C10)</x:f>
        <x:v>3</x:v>
      </x:c>
      <x:c r="E10" s="4">
        <x:f>IF(D10=1,INDEX(H10:H21,MATCH(C10,Scorecard!E4:P4,0)),"")</x:f>
      </x:c>
      <x:c r="F10" s="4">
        <x:f>IF(D10=1,1,0)</x:f>
        <x:v>0</x:v>
      </x:c>
      <x:c r="H10" t="inlineStr">
        <x:is>
          <x:t xml:space="preserve">Player A1</x:t>
        </x:is>
      </x:c>
    </x:row>
    <x:row r="11">
      <x:c r="A11" s="4" t="n">
        <x:v>2</x:v>
      </x:c>
      <x:c r="B11" s="4" t="n">
        <x:v>4</x:v>
      </x:c>
      <x:c r="C11" s="4">
        <x:f>MIN(Scorecard!E5:P5)</x:f>
        <x:v>3</x:v>
      </x:c>
      <x:c r="D11" s="4">
        <x:f>COUNTIF(Scorecard!E5:P5,C11)</x:f>
        <x:v>1</x:v>
      </x:c>
      <x:c r="E11" s="4" t="str">
        <x:f>IF(D11=1,INDEX(H10:H21,MATCH(C11,Scorecard!E5:P5,0)),"")</x:f>
        <x:v>Player B1</x:v>
      </x:c>
      <x:c r="F11" s="4">
        <x:f>IF(D11=1,1,0)</x:f>
        <x:v>1</x:v>
      </x:c>
      <x:c r="H11" t="inlineStr">
        <x:is>
          <x:t xml:space="preserve">Player A2</x:t>
        </x:is>
      </x:c>
    </x:row>
    <x:row r="12">
      <x:c r="A12" s="4" t="n">
        <x:v>3</x:v>
      </x:c>
      <x:c r="B12" s="4" t="n">
        <x:v>3</x:v>
      </x:c>
      <x:c r="C12" s="4">
        <x:f>MIN(Scorecard!E6:P6)</x:f>
        <x:v>2</x:v>
      </x:c>
      <x:c r="D12" s="4">
        <x:f>COUNTIF(Scorecard!E6:P6,C12)</x:f>
        <x:v>1</x:v>
      </x:c>
      <x:c r="E12" s="4" t="str">
        <x:f>IF(D12=1,INDEX(H10:H21,MATCH(C12,Scorecard!E6:P6,0)),"")</x:f>
        <x:v>Player A3</x:v>
      </x:c>
      <x:c r="F12" s="4">
        <x:f>IF(D12=1,1,0)</x:f>
        <x:v>1</x:v>
      </x:c>
      <x:c r="H12" t="inlineStr">
        <x:is>
          <x:t xml:space="preserve">Player A3</x:t>
        </x:is>
      </x:c>
    </x:row>
    <x:row r="13">
      <x:c r="A13" s="4" t="n">
        <x:v>4</x:v>
      </x:c>
      <x:c r="B13" s="4" t="n">
        <x:v>5</x:v>
      </x:c>
      <x:c r="C13" s="4">
        <x:f>MIN(Scorecard!E7:P7)</x:f>
        <x:v>4</x:v>
      </x:c>
      <x:c r="D13" s="4">
        <x:f>COUNTIF(Scorecard!E7:P7,C13)</x:f>
        <x:v>1</x:v>
      </x:c>
      <x:c r="E13" s="4" t="str">
        <x:f>IF(D13=1,INDEX(H10:H21,MATCH(C13,Scorecard!E7:P7,0)),"")</x:f>
        <x:v>Player C1</x:v>
      </x:c>
      <x:c r="F13" s="4">
        <x:f>IF(D13=1,1,0)</x:f>
        <x:v>1</x:v>
      </x:c>
      <x:c r="H13" t="inlineStr">
        <x:is>
          <x:t xml:space="preserve">Player A4</x:t>
        </x:is>
      </x:c>
    </x:row>
    <x:row r="14">
      <x:c r="A14" s="4" t="n">
        <x:v>5</x:v>
      </x:c>
      <x:c r="B14" s="4" t="n">
        <x:v>4</x:v>
      </x:c>
      <x:c r="C14" s="4">
        <x:f>MIN(Scorecard!E8:P8)</x:f>
        <x:v>3</x:v>
      </x:c>
      <x:c r="D14" s="4">
        <x:f>COUNTIF(Scorecard!E8:P8,C14)</x:f>
        <x:v>1</x:v>
      </x:c>
      <x:c r="E14" s="4" t="str">
        <x:f>IF(D14=1,INDEX(H10:H21,MATCH(C14,Scorecard!E8:P8,0)),"")</x:f>
        <x:v>Player B4</x:v>
      </x:c>
      <x:c r="F14" s="4">
        <x:f>IF(D14=1,1,0)</x:f>
        <x:v>1</x:v>
      </x:c>
      <x:c r="H14" t="inlineStr">
        <x:is>
          <x:t xml:space="preserve">Player B1</x:t>
        </x:is>
      </x:c>
    </x:row>
    <x:row r="15">
      <x:c r="A15" s="4" t="n">
        <x:v>6</x:v>
      </x:c>
      <x:c r="B15" s="4" t="n">
        <x:v>4</x:v>
      </x:c>
      <x:c r="C15" s="4">
        <x:f>MIN(Scorecard!E9:P9)</x:f>
        <x:v>4</x:v>
      </x:c>
      <x:c r="D15" s="4">
        <x:f>COUNTIF(Scorecard!E9:P9,C15)</x:f>
        <x:v>7</x:v>
      </x:c>
      <x:c r="E15" s="4">
        <x:f>IF(D15=1,INDEX(H10:H21,MATCH(C15,Scorecard!E9:P9,0)),"")</x:f>
      </x:c>
      <x:c r="F15" s="4">
        <x:f>IF(D15=1,1,0)</x:f>
        <x:v>0</x:v>
      </x:c>
      <x:c r="H15" t="inlineStr">
        <x:is>
          <x:t xml:space="preserve">Player B2</x:t>
        </x:is>
      </x:c>
    </x:row>
    <x:row r="16">
      <x:c r="A16" s="4" t="n">
        <x:v>7</x:v>
      </x:c>
      <x:c r="B16" s="4" t="n">
        <x:v>3</x:v>
      </x:c>
      <x:c r="C16" s="4">
        <x:f>MIN(Scorecard!E10:P10)</x:f>
        <x:v>3</x:v>
      </x:c>
      <x:c r="D16" s="4">
        <x:f>COUNTIF(Scorecard!E10:P10,C16)</x:f>
        <x:v>6</x:v>
      </x:c>
      <x:c r="E16" s="4">
        <x:f>IF(D16=1,INDEX(H10:H21,MATCH(C16,Scorecard!E10:P10,0)),"")</x:f>
      </x:c>
      <x:c r="F16" s="4">
        <x:f>IF(D16=1,1,0)</x:f>
        <x:v>0</x:v>
      </x:c>
      <x:c r="H16" t="inlineStr">
        <x:is>
          <x:t xml:space="preserve">Player B3</x:t>
        </x:is>
      </x:c>
    </x:row>
    <x:row r="17">
      <x:c r="A17" s="4" t="n">
        <x:v>8</x:v>
      </x:c>
      <x:c r="B17" s="4" t="n">
        <x:v>4</x:v>
      </x:c>
      <x:c r="C17" s="4">
        <x:f>MIN(Scorecard!E11:P11)</x:f>
        <x:v>3</x:v>
      </x:c>
      <x:c r="D17" s="4">
        <x:f>COUNTIF(Scorecard!E11:P11,C17)</x:f>
        <x:v>2</x:v>
      </x:c>
      <x:c r="E17" s="4">
        <x:f>IF(D17=1,INDEX(H10:H21,MATCH(C17,Scorecard!E11:P11,0)),"")</x:f>
      </x:c>
      <x:c r="F17" s="4">
        <x:f>IF(D17=1,1,0)</x:f>
        <x:v>0</x:v>
      </x:c>
      <x:c r="H17" t="inlineStr">
        <x:is>
          <x:t xml:space="preserve">Player B4</x:t>
        </x:is>
      </x:c>
    </x:row>
    <x:row r="18">
      <x:c r="A18" s="4" t="n">
        <x:v>9</x:v>
      </x:c>
      <x:c r="B18" s="4" t="n">
        <x:v>5</x:v>
      </x:c>
      <x:c r="C18" s="4">
        <x:f>MIN(Scorecard!E12:P12)</x:f>
        <x:v>5</x:v>
      </x:c>
      <x:c r="D18" s="4">
        <x:f>COUNTIF(Scorecard!E12:P12,C18)</x:f>
        <x:v>3</x:v>
      </x:c>
      <x:c r="E18" s="4">
        <x:f>IF(D18=1,INDEX(H10:H21,MATCH(C18,Scorecard!E12:P12,0)),"")</x:f>
      </x:c>
      <x:c r="F18" s="4">
        <x:f>IF(D18=1,1,0)</x:f>
        <x:v>0</x:v>
      </x:c>
      <x:c r="H18" t="inlineStr">
        <x:is>
          <x:t xml:space="preserve">Player C1</x:t>
        </x:is>
      </x:c>
    </x:row>
    <x:row r="19">
      <x:c r="A19" s="4" t="n">
        <x:v>10</x:v>
      </x:c>
      <x:c r="B19" s="4" t="n">
        <x:v>4</x:v>
      </x:c>
      <x:c r="C19" s="4">
        <x:f>MIN(Scorecard!E13:P13)</x:f>
        <x:v>3</x:v>
      </x:c>
      <x:c r="D19" s="4">
        <x:f>COUNTIF(Scorecard!E13:P13,C19)</x:f>
        <x:v>1</x:v>
      </x:c>
      <x:c r="E19" s="4" t="str">
        <x:f>IF(D19=1,INDEX(H10:H21,MATCH(C19,Scorecard!E13:P13,0)),"")</x:f>
        <x:v>Player B2</x:v>
      </x:c>
      <x:c r="F19" s="4">
        <x:f>IF(D19=1,1,0)</x:f>
        <x:v>1</x:v>
      </x:c>
      <x:c r="H19" t="inlineStr">
        <x:is>
          <x:t xml:space="preserve">Player C2</x:t>
        </x:is>
      </x:c>
    </x:row>
    <x:row r="20">
      <x:c r="A20" s="4" t="n">
        <x:v>11</x:v>
      </x:c>
      <x:c r="B20" s="4" t="n">
        <x:v>5</x:v>
      </x:c>
      <x:c r="C20" s="4">
        <x:f>MIN(Scorecard!E14:P14)</x:f>
        <x:v>4</x:v>
      </x:c>
      <x:c r="D20" s="4">
        <x:f>COUNTIF(Scorecard!E14:P14,C20)</x:f>
        <x:v>1</x:v>
      </x:c>
      <x:c r="E20" s="4" t="str">
        <x:f>IF(D20=1,INDEX(H10:H21,MATCH(C20,Scorecard!E14:P14,0)),"")</x:f>
        <x:v>Player B2</x:v>
      </x:c>
      <x:c r="F20" s="4">
        <x:f>IF(D20=1,1,0)</x:f>
        <x:v>1</x:v>
      </x:c>
      <x:c r="H20" t="inlineStr">
        <x:is>
          <x:t xml:space="preserve">Player C3</x:t>
        </x:is>
      </x:c>
    </x:row>
    <x:row r="21">
      <x:c r="A21" s="4" t="n">
        <x:v>12</x:v>
      </x:c>
      <x:c r="B21" s="4" t="n">
        <x:v>3</x:v>
      </x:c>
      <x:c r="C21" s="4">
        <x:f>MIN(Scorecard!E15:P15)</x:f>
        <x:v>2</x:v>
      </x:c>
      <x:c r="D21" s="4">
        <x:f>COUNTIF(Scorecard!E15:P15,C21)</x:f>
        <x:v>2</x:v>
      </x:c>
      <x:c r="E21" s="4">
        <x:f>IF(D21=1,INDEX(H10:H21,MATCH(C21,Scorecard!E15:P15,0)),"")</x:f>
      </x:c>
      <x:c r="F21" s="4">
        <x:f>IF(D21=1,1,0)</x:f>
        <x:v>0</x:v>
      </x:c>
      <x:c r="H21" t="inlineStr">
        <x:is>
          <x:t xml:space="preserve">Player C4</x:t>
        </x:is>
      </x:c>
    </x:row>
    <x:row r="22">
      <x:c r="A22" s="4" t="n">
        <x:v>13</x:v>
      </x:c>
      <x:c r="B22" s="4" t="n">
        <x:v>4</x:v>
      </x:c>
      <x:c r="C22" s="4">
        <x:f>MIN(Scorecard!E16:P16)</x:f>
        <x:v>3</x:v>
      </x:c>
      <x:c r="D22" s="4">
        <x:f>COUNTIF(Scorecard!E16:P16,C22)</x:f>
        <x:v>2</x:v>
      </x:c>
      <x:c r="E22" s="4">
        <x:f>IF(D22=1,INDEX(H10:H21,MATCH(C22,Scorecard!E16:P16,0)),"")</x:f>
      </x:c>
      <x:c r="F22" s="4">
        <x:f>IF(D22=1,1,0)</x:f>
        <x:v>0</x:v>
      </x:c>
    </x:row>
    <x:row r="23">
      <x:c r="A23" s="4" t="n">
        <x:v>14</x:v>
      </x:c>
      <x:c r="B23" s="4" t="n">
        <x:v>4</x:v>
      </x:c>
      <x:c r="C23" s="4">
        <x:f>MIN(Scorecard!E17:P17)</x:f>
        <x:v>3</x:v>
      </x:c>
      <x:c r="D23" s="4">
        <x:f>COUNTIF(Scorecard!E17:P17,C23)</x:f>
        <x:v>1</x:v>
      </x:c>
      <x:c r="E23" s="4" t="str">
        <x:f>IF(D23=1,INDEX(H10:H21,MATCH(C23,Scorecard!E17:P17,0)),"")</x:f>
        <x:v>Player B1</x:v>
      </x:c>
      <x:c r="F23" s="4">
        <x:f>IF(D23=1,1,0)</x:f>
        <x:v>1</x:v>
      </x:c>
    </x:row>
    <x:row r="24">
      <x:c r="A24" s="4" t="n">
        <x:v>15</x:v>
      </x:c>
      <x:c r="B24" s="4" t="n">
        <x:v>3</x:v>
      </x:c>
      <x:c r="C24" s="4">
        <x:f>MIN(Scorecard!E18:P18)</x:f>
        <x:v>3</x:v>
      </x:c>
      <x:c r="D24" s="4">
        <x:f>COUNTIF(Scorecard!E18:P18,C24)</x:f>
        <x:v>6</x:v>
      </x:c>
      <x:c r="E24" s="4">
        <x:f>IF(D24=1,INDEX(H10:H21,MATCH(C24,Scorecard!E18:P18,0)),"")</x:f>
      </x:c>
      <x:c r="F24" s="4">
        <x:f>IF(D24=1,1,0)</x:f>
        <x:v>0</x:v>
      </x:c>
    </x:row>
    <x:row r="25">
      <x:c r="A25" s="4" t="n">
        <x:v>16</x:v>
      </x:c>
      <x:c r="B25" s="4" t="n">
        <x:v>4</x:v>
      </x:c>
      <x:c r="C25" s="4">
        <x:f>MIN(Scorecard!E19:P19)</x:f>
        <x:v>4</x:v>
      </x:c>
      <x:c r="D25" s="4">
        <x:f>COUNTIF(Scorecard!E19:P19,C25)</x:f>
        <x:v>6</x:v>
      </x:c>
      <x:c r="E25" s="4">
        <x:f>IF(D25=1,INDEX(H10:H21,MATCH(C25,Scorecard!E19:P19,0)),"")</x:f>
      </x:c>
      <x:c r="F25" s="4">
        <x:f>IF(D25=1,1,0)</x:f>
        <x:v>0</x:v>
      </x:c>
    </x:row>
    <x:row r="26">
      <x:c r="A26" s="4" t="n">
        <x:v>17</x:v>
      </x:c>
      <x:c r="B26" s="4" t="n">
        <x:v>5</x:v>
      </x:c>
      <x:c r="C26" s="4">
        <x:f>MIN(Scorecard!E20:P20)</x:f>
        <x:v>4</x:v>
      </x:c>
      <x:c r="D26" s="4">
        <x:f>COUNTIF(Scorecard!E20:P20,C26)</x:f>
        <x:v>4</x:v>
      </x:c>
      <x:c r="E26" s="4">
        <x:f>IF(D26=1,INDEX(H10:H21,MATCH(C26,Scorecard!E20:P20,0)),"")</x:f>
      </x:c>
      <x:c r="F26" s="4">
        <x:f>IF(D26=1,1,0)</x:f>
        <x:v>0</x:v>
      </x:c>
    </x:row>
    <x:row r="27">
      <x:c r="A27" s="4" t="n">
        <x:v>18</x:v>
      </x:c>
      <x:c r="B27" s="4" t="n">
        <x:v>4</x:v>
      </x:c>
      <x:c r="C27" s="4">
        <x:f>MIN(Scorecard!E21:P21)</x:f>
        <x:v>4</x:v>
      </x:c>
      <x:c r="D27" s="4">
        <x:f>COUNTIF(Scorecard!E21:P21,C27)</x:f>
        <x:v>6</x:v>
      </x:c>
      <x:c r="E27" s="4">
        <x:f>IF(D27=1,INDEX(H10:H21,MATCH(C27,Scorecard!E21:P21,0)),"")</x:f>
      </x:c>
      <x:c r="F27" s="4">
        <x:f>IF(D27=1,1,0)</x:f>
        <x:v>0</x:v>
      </x:c>
    </x:row>
    <x:row r="29">
      <x:c r="A29" s="2" t="inlineStr">
        <x:is>
          <x:t xml:space="preserve">Player</x:t>
        </x:is>
      </x:c>
      <x:c r="B29" s="2" t="inlineStr">
        <x:is>
          <x:t xml:space="preserve">Skins Won</x:t>
        </x:is>
      </x:c>
      <x:c r="C29" s="2" t="inlineStr">
        <x:is>
          <x:t xml:space="preserve">Winnings</x:t>
        </x:is>
      </x:c>
      <x:c r="D29" s="2" t="inlineStr">
        <x:is>
          <x:t xml:space="preserve">Net (after buy-in)</x:t>
        </x:is>
      </x:c>
    </x:row>
    <x:row r="30">
      <x:c r="A30" s="16" t="inlineStr">
        <x:is>
          <x:t xml:space="preserve">Player A1</x:t>
        </x:is>
      </x:c>
      <x:c r="B30" s="4">
        <x:f>COUNTIF($E$10:$E$27,A30)</x:f>
        <x:v>0</x:v>
      </x:c>
      <x:c r="C30" s="12">
        <x:f>B30*$B$7</x:f>
        <x:v>0</x:v>
      </x:c>
      <x:c r="D30" s="12">
        <x:f>C30-$B$3</x:f>
        <x:v>-10</x:v>
      </x:c>
    </x:row>
    <x:row r="31">
      <x:c r="A31" s="16" t="inlineStr">
        <x:is>
          <x:t xml:space="preserve">Player A2</x:t>
        </x:is>
      </x:c>
      <x:c r="B31" s="4">
        <x:f>COUNTIF($E$10:$E$27,A31)</x:f>
        <x:v>0</x:v>
      </x:c>
      <x:c r="C31" s="12">
        <x:f>B31*$B$7</x:f>
        <x:v>0</x:v>
      </x:c>
      <x:c r="D31" s="12">
        <x:f>C31-$B$3</x:f>
        <x:v>-10</x:v>
      </x:c>
    </x:row>
    <x:row r="32">
      <x:c r="A32" s="16" t="inlineStr">
        <x:is>
          <x:t xml:space="preserve">Player A3</x:t>
        </x:is>
      </x:c>
      <x:c r="B32" s="4">
        <x:f>COUNTIF($E$10:$E$27,A32)</x:f>
        <x:v>1</x:v>
      </x:c>
      <x:c r="C32" s="12">
        <x:f>B32*$B$7</x:f>
        <x:v>17.142857142857142</x:v>
      </x:c>
      <x:c r="D32" s="12">
        <x:f>C32-$B$3</x:f>
        <x:v>7.142857142857142</x:v>
      </x:c>
    </x:row>
    <x:row r="33">
      <x:c r="A33" s="16" t="inlineStr">
        <x:is>
          <x:t xml:space="preserve">Player A4</x:t>
        </x:is>
      </x:c>
      <x:c r="B33" s="4">
        <x:f>COUNTIF($E$10:$E$27,A33)</x:f>
        <x:v>0</x:v>
      </x:c>
      <x:c r="C33" s="12">
        <x:f>B33*$B$7</x:f>
        <x:v>0</x:v>
      </x:c>
      <x:c r="D33" s="12">
        <x:f>C33-$B$3</x:f>
        <x:v>-10</x:v>
      </x:c>
    </x:row>
    <x:row r="34">
      <x:c r="A34" s="16" t="inlineStr">
        <x:is>
          <x:t xml:space="preserve">Player B1</x:t>
        </x:is>
      </x:c>
      <x:c r="B34" s="4">
        <x:f>COUNTIF($E$10:$E$27,A34)</x:f>
        <x:v>2</x:v>
      </x:c>
      <x:c r="C34" s="12">
        <x:f>B34*$B$7</x:f>
        <x:v>34.285714285714285</x:v>
      </x:c>
      <x:c r="D34" s="12">
        <x:f>C34-$B$3</x:f>
        <x:v>24.285714285714285</x:v>
      </x:c>
    </x:row>
    <x:row r="35">
      <x:c r="A35" s="16" t="inlineStr">
        <x:is>
          <x:t xml:space="preserve">Player B2</x:t>
        </x:is>
      </x:c>
      <x:c r="B35" s="4">
        <x:f>COUNTIF($E$10:$E$27,A35)</x:f>
        <x:v>2</x:v>
      </x:c>
      <x:c r="C35" s="12">
        <x:f>B35*$B$7</x:f>
        <x:v>34.285714285714285</x:v>
      </x:c>
      <x:c r="D35" s="12">
        <x:f>C35-$B$3</x:f>
        <x:v>24.285714285714285</x:v>
      </x:c>
    </x:row>
    <x:row r="36">
      <x:c r="A36" s="16" t="inlineStr">
        <x:is>
          <x:t xml:space="preserve">Player B3</x:t>
        </x:is>
      </x:c>
      <x:c r="B36" s="4">
        <x:f>COUNTIF($E$10:$E$27,A36)</x:f>
        <x:v>0</x:v>
      </x:c>
      <x:c r="C36" s="12">
        <x:f>B36*$B$7</x:f>
        <x:v>0</x:v>
      </x:c>
      <x:c r="D36" s="12">
        <x:f>C36-$B$3</x:f>
        <x:v>-10</x:v>
      </x:c>
    </x:row>
    <x:row r="37">
      <x:c r="A37" s="16" t="inlineStr">
        <x:is>
          <x:t xml:space="preserve">Player B4</x:t>
        </x:is>
      </x:c>
      <x:c r="B37" s="4">
        <x:f>COUNTIF($E$10:$E$27,A37)</x:f>
        <x:v>1</x:v>
      </x:c>
      <x:c r="C37" s="12">
        <x:f>B37*$B$7</x:f>
        <x:v>17.142857142857142</x:v>
      </x:c>
      <x:c r="D37" s="12">
        <x:f>C37-$B$3</x:f>
        <x:v>7.142857142857142</x:v>
      </x:c>
    </x:row>
    <x:row r="38">
      <x:c r="A38" s="16" t="inlineStr">
        <x:is>
          <x:t xml:space="preserve">Player C1</x:t>
        </x:is>
      </x:c>
      <x:c r="B38" s="4">
        <x:f>COUNTIF($E$10:$E$27,A38)</x:f>
        <x:v>1</x:v>
      </x:c>
      <x:c r="C38" s="12">
        <x:f>B38*$B$7</x:f>
        <x:v>17.142857142857142</x:v>
      </x:c>
      <x:c r="D38" s="12">
        <x:f>C38-$B$3</x:f>
        <x:v>7.142857142857142</x:v>
      </x:c>
    </x:row>
    <x:row r="39">
      <x:c r="A39" s="16" t="inlineStr">
        <x:is>
          <x:t xml:space="preserve">Player C2</x:t>
        </x:is>
      </x:c>
      <x:c r="B39" s="4">
        <x:f>COUNTIF($E$10:$E$27,A39)</x:f>
        <x:v>0</x:v>
      </x:c>
      <x:c r="C39" s="12">
        <x:f>B39*$B$7</x:f>
        <x:v>0</x:v>
      </x:c>
      <x:c r="D39" s="12">
        <x:f>C39-$B$3</x:f>
        <x:v>-10</x:v>
      </x:c>
    </x:row>
    <x:row r="40">
      <x:c r="A40" s="16" t="inlineStr">
        <x:is>
          <x:t xml:space="preserve">Player C3</x:t>
        </x:is>
      </x:c>
      <x:c r="B40" s="4">
        <x:f>COUNTIF($E$10:$E$27,A40)</x:f>
        <x:v>0</x:v>
      </x:c>
      <x:c r="C40" s="12">
        <x:f>B40*$B$7</x:f>
        <x:v>0</x:v>
      </x:c>
      <x:c r="D40" s="12">
        <x:f>C40-$B$3</x:f>
        <x:v>-10</x:v>
      </x:c>
    </x:row>
    <x:row r="41">
      <x:c r="A41" s="16" t="inlineStr">
        <x:is>
          <x:t xml:space="preserve">Player C4</x:t>
        </x:is>
      </x:c>
      <x:c r="B41" s="4">
        <x:f>COUNTIF($E$10:$E$27,A41)</x:f>
        <x:v>0</x:v>
      </x:c>
      <x:c r="C41" s="12">
        <x:f>B41*$B$7</x:f>
        <x:v>0</x:v>
      </x:c>
      <x:c r="D41" s="12">
        <x:f>C41-$B$3</x:f>
        <x:v>-10</x:v>
      </x:c>
    </x:row>
  </x:sheetData>
  <x:pageMargins left="0.7" right="0.7" top="0.75" bottom="0.75" header="0.3" footer="0.3"/>
</x:worksheet>
</file>