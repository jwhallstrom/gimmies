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Setup" sheetId="1" state="visible" r:id="rId1"/>
    <sheet name="Scorecard" sheetId="2" state="visible" r:id="rId2"/>
    <sheet name="Team Best 2" sheetId="3" state="visible" r:id="rId3"/>
    <sheet name="Nassau" sheetId="4" state="visible" r:id="rId4"/>
    <sheet name="Skins" sheetId="5" state="visible" r:id="rId5"/>
  </sheets>
  <definedNames/>
</workbook>
</file>

<file path=xl/styles.xml><?xml version="1.0" encoding="utf-8"?>
<styleSheet xmlns="http://schemas.openxmlformats.org/spreadsheetml/2006/main">
  <numFmts count="2">
    <numFmt numFmtId="164" formatCode="$#,##0.00"/>
    <numFmt numFmtId="165" formatCode="$#,##0"/>
  </numFmts>
  <fonts count="7">
    <font>
      <name val="Calibri"/>
      <family val="2"/>
      <color theme="1"/>
      <sz val="11"/>
      <scheme val="minor"/>
    </font>
    <font>
      <b val="1"/>
      <sz val="16"/>
    </font>
    <font>
      <b val="1"/>
      <color rgb="00FFFFFF"/>
    </font>
    <font>
      <b val="1"/>
      <sz val="14"/>
    </font>
    <font>
      <b val="1"/>
    </font>
    <font>
      <b val="1"/>
      <color rgb="00808080"/>
    </font>
    <font>
      <b val="1"/>
      <sz val="9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0" borderId="1" applyAlignment="1" pivotButton="0" quotePrefix="0" xfId="0">
      <alignment horizontal="center"/>
    </xf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3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4" fillId="0" borderId="1" pivotButton="0" quotePrefix="0" xfId="0"/>
    <xf numFmtId="0" fontId="0" fillId="0" borderId="1" pivotButton="0" quotePrefix="0" xfId="0"/>
    <xf numFmtId="164" fontId="0" fillId="0" borderId="1" applyAlignment="1" pivotButton="0" quotePrefix="0" xfId="0">
      <alignment horizontal="center"/>
    </xf>
    <xf numFmtId="164" fontId="4" fillId="0" borderId="1" pivotButton="0" quotePrefix="0" xfId="0"/>
    <xf numFmtId="165" fontId="0" fillId="0" borderId="0" pivotButton="0" quotePrefix="0" xfId="0"/>
    <xf numFmtId="164" fontId="0" fillId="0" borderId="0" pivotButton="0" quotePrefix="0" xfId="0"/>
    <xf numFmtId="0" fontId="0" fillId="0" borderId="1" applyAlignment="1" pivotButton="0" quotePrefix="0" xfId="0">
      <alignment horizontal="left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6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2" customWidth="1" min="3" max="3"/>
    <col width="8" customWidth="1" min="4" max="4"/>
    <col width="6" customWidth="1" min="5" max="5"/>
    <col width="6" customWidth="1" min="6" max="6"/>
    <col width="10" customWidth="1" min="7" max="7"/>
  </cols>
  <sheetData>
    <row r="1">
      <c r="A1" s="1" t="inlineStr">
        <is>
          <t>Game Setup</t>
        </is>
      </c>
    </row>
    <row r="3">
      <c r="A3" t="inlineStr">
        <is>
          <t>Nassau buy-in ($ per player)</t>
        </is>
      </c>
      <c r="B3" t="n">
        <v>15</v>
      </c>
      <c r="D3" t="inlineStr">
        <is>
          <t>Course</t>
        </is>
      </c>
      <c r="E3" t="inlineStr">
        <is>
          <t>Palmer Hills</t>
        </is>
      </c>
    </row>
    <row r="4">
      <c r="A4" t="inlineStr">
        <is>
          <t>Skins buy-in ($ per player)</t>
        </is>
      </c>
      <c r="B4" t="n">
        <v>10</v>
      </c>
      <c r="D4" t="inlineStr">
        <is>
          <t>Tees</t>
        </is>
      </c>
      <c r="E4" t="inlineStr">
        <is>
          <t>Black</t>
        </is>
      </c>
    </row>
    <row r="5">
      <c r="A5" t="inlineStr">
        <is>
          <t># Players</t>
        </is>
      </c>
      <c r="B5" t="n">
        <v>12</v>
      </c>
    </row>
    <row r="6">
      <c r="A6" t="inlineStr">
        <is>
          <t># Teams</t>
        </is>
      </c>
      <c r="B6" t="n">
        <v>3</v>
      </c>
    </row>
    <row r="8">
      <c r="A8" s="2" t="inlineStr">
        <is>
          <t>Team</t>
        </is>
      </c>
      <c r="B8" s="2" t="inlineStr">
        <is>
          <t>Player</t>
        </is>
      </c>
      <c r="D8" s="2" t="inlineStr">
        <is>
          <t>Hole</t>
        </is>
      </c>
      <c r="E8" s="2" t="inlineStr">
        <is>
          <t>Par</t>
        </is>
      </c>
      <c r="F8" s="2" t="inlineStr">
        <is>
          <t>HCP</t>
        </is>
      </c>
      <c r="G8" s="2" t="inlineStr">
        <is>
          <t>Yards</t>
        </is>
      </c>
    </row>
    <row r="9">
      <c r="A9" s="11" t="inlineStr">
        <is>
          <t>Team A</t>
        </is>
      </c>
      <c r="B9" s="11" t="inlineStr">
        <is>
          <t>Player A1</t>
        </is>
      </c>
      <c r="D9" s="4" t="n">
        <v>1</v>
      </c>
      <c r="E9" s="4" t="n">
        <v>4</v>
      </c>
      <c r="F9" s="4" t="n">
        <v>7</v>
      </c>
      <c r="G9" s="4" t="n">
        <v>410</v>
      </c>
    </row>
    <row r="10">
      <c r="A10" s="11" t="inlineStr">
        <is>
          <t>Team A</t>
        </is>
      </c>
      <c r="B10" s="11" t="inlineStr">
        <is>
          <t>Player A2</t>
        </is>
      </c>
      <c r="D10" s="4" t="n">
        <v>2</v>
      </c>
      <c r="E10" s="4" t="n">
        <v>4</v>
      </c>
      <c r="F10" s="4" t="n">
        <v>11</v>
      </c>
      <c r="G10" s="4" t="n">
        <v>380</v>
      </c>
    </row>
    <row r="11">
      <c r="A11" s="11" t="inlineStr">
        <is>
          <t>Team A</t>
        </is>
      </c>
      <c r="B11" s="11" t="inlineStr">
        <is>
          <t>Player A3</t>
        </is>
      </c>
      <c r="D11" s="4" t="n">
        <v>3</v>
      </c>
      <c r="E11" s="4" t="n">
        <v>3</v>
      </c>
      <c r="F11" s="4" t="n">
        <v>17</v>
      </c>
      <c r="G11" s="4" t="n">
        <v>185</v>
      </c>
    </row>
    <row r="12">
      <c r="A12" s="11" t="inlineStr">
        <is>
          <t>Team A</t>
        </is>
      </c>
      <c r="B12" s="11" t="inlineStr">
        <is>
          <t>Player A4</t>
        </is>
      </c>
      <c r="D12" s="4" t="n">
        <v>4</v>
      </c>
      <c r="E12" s="4" t="n">
        <v>5</v>
      </c>
      <c r="F12" s="4" t="n">
        <v>3</v>
      </c>
      <c r="G12" s="4" t="n">
        <v>520</v>
      </c>
    </row>
    <row r="13">
      <c r="A13" s="11" t="inlineStr">
        <is>
          <t>Team B</t>
        </is>
      </c>
      <c r="B13" s="11" t="inlineStr">
        <is>
          <t>Player B1</t>
        </is>
      </c>
      <c r="D13" s="4" t="n">
        <v>5</v>
      </c>
      <c r="E13" s="4" t="n">
        <v>4</v>
      </c>
      <c r="F13" s="4" t="n">
        <v>1</v>
      </c>
      <c r="G13" s="4" t="n">
        <v>440</v>
      </c>
    </row>
    <row r="14">
      <c r="A14" s="11" t="inlineStr">
        <is>
          <t>Team B</t>
        </is>
      </c>
      <c r="B14" s="11" t="inlineStr">
        <is>
          <t>Player B2</t>
        </is>
      </c>
      <c r="D14" s="4" t="n">
        <v>6</v>
      </c>
      <c r="E14" s="4" t="n">
        <v>4</v>
      </c>
      <c r="F14" s="4" t="n">
        <v>13</v>
      </c>
      <c r="G14" s="4" t="n">
        <v>365</v>
      </c>
    </row>
    <row r="15">
      <c r="A15" s="11" t="inlineStr">
        <is>
          <t>Team B</t>
        </is>
      </c>
      <c r="B15" s="11" t="inlineStr">
        <is>
          <t>Player B3</t>
        </is>
      </c>
      <c r="D15" s="4" t="n">
        <v>7</v>
      </c>
      <c r="E15" s="4" t="n">
        <v>3</v>
      </c>
      <c r="F15" s="4" t="n">
        <v>15</v>
      </c>
      <c r="G15" s="4" t="n">
        <v>170</v>
      </c>
    </row>
    <row r="16">
      <c r="A16" s="11" t="inlineStr">
        <is>
          <t>Team B</t>
        </is>
      </c>
      <c r="B16" s="11" t="inlineStr">
        <is>
          <t>Player B4</t>
        </is>
      </c>
      <c r="D16" s="4" t="n">
        <v>8</v>
      </c>
      <c r="E16" s="4" t="n">
        <v>4</v>
      </c>
      <c r="F16" s="4" t="n">
        <v>9</v>
      </c>
      <c r="G16" s="4" t="n">
        <v>405</v>
      </c>
    </row>
    <row r="17">
      <c r="A17" s="11" t="inlineStr">
        <is>
          <t>Team C</t>
        </is>
      </c>
      <c r="B17" s="11" t="inlineStr">
        <is>
          <t>Player C1</t>
        </is>
      </c>
      <c r="D17" s="4" t="n">
        <v>9</v>
      </c>
      <c r="E17" s="4" t="n">
        <v>5</v>
      </c>
      <c r="F17" s="4" t="n">
        <v>5</v>
      </c>
      <c r="G17" s="4" t="n">
        <v>545</v>
      </c>
    </row>
    <row r="18">
      <c r="A18" s="11" t="inlineStr">
        <is>
          <t>Team C</t>
        </is>
      </c>
      <c r="B18" s="11" t="inlineStr">
        <is>
          <t>Player C2</t>
        </is>
      </c>
      <c r="D18" s="4" t="n">
        <v>10</v>
      </c>
      <c r="E18" s="4" t="n">
        <v>4</v>
      </c>
      <c r="F18" s="4" t="n">
        <v>8</v>
      </c>
      <c r="G18" s="4" t="n">
        <v>395</v>
      </c>
    </row>
    <row r="19">
      <c r="A19" s="11" t="inlineStr">
        <is>
          <t>Team C</t>
        </is>
      </c>
      <c r="B19" s="11" t="inlineStr">
        <is>
          <t>Player C3</t>
        </is>
      </c>
      <c r="D19" s="4" t="n">
        <v>11</v>
      </c>
      <c r="E19" s="4" t="n">
        <v>5</v>
      </c>
      <c r="F19" s="4" t="n">
        <v>2</v>
      </c>
      <c r="G19" s="4" t="n">
        <v>530</v>
      </c>
    </row>
    <row r="20">
      <c r="A20" s="11" t="inlineStr">
        <is>
          <t>Team C</t>
        </is>
      </c>
      <c r="B20" s="11" t="inlineStr">
        <is>
          <t>Player C4</t>
        </is>
      </c>
      <c r="D20" s="4" t="n">
        <v>12</v>
      </c>
      <c r="E20" s="4" t="n">
        <v>3</v>
      </c>
      <c r="F20" s="4" t="n">
        <v>18</v>
      </c>
      <c r="G20" s="4" t="n">
        <v>180</v>
      </c>
    </row>
    <row r="21">
      <c r="D21" s="4" t="n">
        <v>13</v>
      </c>
      <c r="E21" s="4" t="n">
        <v>4</v>
      </c>
      <c r="F21" s="4" t="n">
        <v>10</v>
      </c>
      <c r="G21" s="4" t="n">
        <v>410</v>
      </c>
    </row>
    <row r="22">
      <c r="D22" s="4" t="n">
        <v>14</v>
      </c>
      <c r="E22" s="4" t="n">
        <v>4</v>
      </c>
      <c r="F22" s="4" t="n">
        <v>12</v>
      </c>
      <c r="G22" s="4" t="n">
        <v>360</v>
      </c>
    </row>
    <row r="23">
      <c r="D23" s="4" t="n">
        <v>15</v>
      </c>
      <c r="E23" s="4" t="n">
        <v>3</v>
      </c>
      <c r="F23" s="4" t="n">
        <v>16</v>
      </c>
      <c r="G23" s="4" t="n">
        <v>165</v>
      </c>
    </row>
    <row r="24">
      <c r="D24" s="4" t="n">
        <v>16</v>
      </c>
      <c r="E24" s="4" t="n">
        <v>4</v>
      </c>
      <c r="F24" s="4" t="n">
        <v>6</v>
      </c>
      <c r="G24" s="4" t="n">
        <v>425</v>
      </c>
    </row>
    <row r="25">
      <c r="D25" s="4" t="n">
        <v>17</v>
      </c>
      <c r="E25" s="4" t="n">
        <v>5</v>
      </c>
      <c r="F25" s="4" t="n">
        <v>4</v>
      </c>
      <c r="G25" s="4" t="n">
        <v>515</v>
      </c>
    </row>
    <row r="26">
      <c r="D26" s="4" t="n">
        <v>18</v>
      </c>
      <c r="E26" s="4" t="n">
        <v>4</v>
      </c>
      <c r="F26" s="4" t="n">
        <v>14</v>
      </c>
      <c r="G26" s="4" t="n">
        <v>390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37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5" customWidth="1" min="2" max="2"/>
    <col width="5" customWidth="1" min="3" max="3"/>
    <col width="7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</cols>
  <sheetData>
    <row r="1">
      <c r="A1" s="5" t="inlineStr">
        <is>
          <t>Scorecard (Gross) — Palmer Hills Black Tees</t>
        </is>
      </c>
    </row>
    <row r="3">
      <c r="A3" s="2" t="inlineStr">
        <is>
          <t>Hole</t>
        </is>
      </c>
      <c r="B3" s="2" t="inlineStr">
        <is>
          <t>Par</t>
        </is>
      </c>
      <c r="C3" s="2" t="inlineStr">
        <is>
          <t>HCP</t>
        </is>
      </c>
      <c r="D3" s="2" t="inlineStr">
        <is>
          <t>Yards</t>
        </is>
      </c>
      <c r="E3" s="2" t="inlineStr">
        <is>
          <t>Player A1</t>
        </is>
      </c>
      <c r="F3" s="2" t="inlineStr">
        <is>
          <t>Player A2</t>
        </is>
      </c>
      <c r="G3" s="2" t="inlineStr">
        <is>
          <t>Player A3</t>
        </is>
      </c>
      <c r="H3" s="2" t="inlineStr">
        <is>
          <t>Player A4</t>
        </is>
      </c>
      <c r="I3" s="2" t="inlineStr">
        <is>
          <t>Player B1</t>
        </is>
      </c>
      <c r="J3" s="2" t="inlineStr">
        <is>
          <t>Player B2</t>
        </is>
      </c>
      <c r="K3" s="2" t="inlineStr">
        <is>
          <t>Player B3</t>
        </is>
      </c>
      <c r="L3" s="2" t="inlineStr">
        <is>
          <t>Player B4</t>
        </is>
      </c>
      <c r="M3" s="2" t="inlineStr">
        <is>
          <t>Player C1</t>
        </is>
      </c>
      <c r="N3" s="2" t="inlineStr">
        <is>
          <t>Player C2</t>
        </is>
      </c>
      <c r="O3" s="2" t="inlineStr">
        <is>
          <t>Player C3</t>
        </is>
      </c>
      <c r="P3" s="2" t="inlineStr">
        <is>
          <t>Player C4</t>
        </is>
      </c>
    </row>
    <row r="4">
      <c r="A4" s="4" t="n">
        <v>1</v>
      </c>
      <c r="B4" s="4" t="n">
        <v>4</v>
      </c>
      <c r="C4" s="4" t="n">
        <v>7</v>
      </c>
      <c r="D4" s="4" t="n">
        <v>410</v>
      </c>
      <c r="E4" s="4" t="n">
        <v>4</v>
      </c>
      <c r="F4" s="4" t="n">
        <v>3</v>
      </c>
      <c r="G4" s="4" t="n">
        <v>4</v>
      </c>
      <c r="H4" s="4" t="n">
        <v>4</v>
      </c>
      <c r="I4" s="4" t="n">
        <v>4</v>
      </c>
      <c r="J4" s="4" t="n">
        <v>4</v>
      </c>
      <c r="K4" s="4" t="n">
        <v>4</v>
      </c>
      <c r="L4" s="4" t="n">
        <v>6</v>
      </c>
      <c r="M4" s="4" t="n">
        <v>4</v>
      </c>
      <c r="N4" s="4" t="n">
        <v>5</v>
      </c>
      <c r="O4" s="4" t="n">
        <v>3</v>
      </c>
      <c r="P4" s="4" t="n">
        <v>3</v>
      </c>
    </row>
    <row r="5">
      <c r="A5" s="4" t="n">
        <v>2</v>
      </c>
      <c r="B5" s="4" t="n">
        <v>4</v>
      </c>
      <c r="C5" s="4" t="n">
        <v>11</v>
      </c>
      <c r="D5" s="4" t="n">
        <v>380</v>
      </c>
      <c r="E5" s="4" t="n">
        <v>4</v>
      </c>
      <c r="F5" s="4" t="n">
        <v>4</v>
      </c>
      <c r="G5" s="4" t="n">
        <v>4</v>
      </c>
      <c r="H5" s="4" t="n">
        <v>6</v>
      </c>
      <c r="I5" s="4" t="n">
        <v>3</v>
      </c>
      <c r="J5" s="4" t="n">
        <v>6</v>
      </c>
      <c r="K5" s="4" t="n">
        <v>4</v>
      </c>
      <c r="L5" s="4" t="n">
        <v>6</v>
      </c>
      <c r="M5" s="4" t="n">
        <v>5</v>
      </c>
      <c r="N5" s="4" t="n">
        <v>4</v>
      </c>
      <c r="O5" s="4" t="n">
        <v>6</v>
      </c>
      <c r="P5" s="4" t="n">
        <v>4</v>
      </c>
    </row>
    <row r="6">
      <c r="A6" s="4" t="n">
        <v>3</v>
      </c>
      <c r="B6" s="4" t="n">
        <v>3</v>
      </c>
      <c r="C6" s="4" t="n">
        <v>17</v>
      </c>
      <c r="D6" s="4" t="n">
        <v>185</v>
      </c>
      <c r="E6" s="4" t="n">
        <v>5</v>
      </c>
      <c r="F6" s="4" t="n">
        <v>5</v>
      </c>
      <c r="G6" s="4" t="n">
        <v>2</v>
      </c>
      <c r="H6" s="4" t="n">
        <v>5</v>
      </c>
      <c r="I6" s="4" t="n">
        <v>5</v>
      </c>
      <c r="J6" s="4" t="n">
        <v>3</v>
      </c>
      <c r="K6" s="4" t="n">
        <v>4</v>
      </c>
      <c r="L6" s="4" t="n">
        <v>3</v>
      </c>
      <c r="M6" s="4" t="n">
        <v>3</v>
      </c>
      <c r="N6" s="4" t="n">
        <v>3</v>
      </c>
      <c r="O6" s="4" t="n">
        <v>3</v>
      </c>
      <c r="P6" s="4" t="n">
        <v>3</v>
      </c>
    </row>
    <row r="7">
      <c r="A7" s="4" t="n">
        <v>4</v>
      </c>
      <c r="B7" s="4" t="n">
        <v>5</v>
      </c>
      <c r="C7" s="4" t="n">
        <v>3</v>
      </c>
      <c r="D7" s="4" t="n">
        <v>520</v>
      </c>
      <c r="E7" s="4" t="n">
        <v>6</v>
      </c>
      <c r="F7" s="4" t="n">
        <v>5</v>
      </c>
      <c r="G7" s="4" t="n">
        <v>5</v>
      </c>
      <c r="H7" s="4" t="n">
        <v>7</v>
      </c>
      <c r="I7" s="4" t="n">
        <v>5</v>
      </c>
      <c r="J7" s="4" t="n">
        <v>6</v>
      </c>
      <c r="K7" s="4" t="n">
        <v>6</v>
      </c>
      <c r="L7" s="4" t="n">
        <v>6</v>
      </c>
      <c r="M7" s="4" t="n">
        <v>4</v>
      </c>
      <c r="N7" s="4" t="n">
        <v>7</v>
      </c>
      <c r="O7" s="4" t="n">
        <v>8</v>
      </c>
      <c r="P7" s="4" t="n">
        <v>5</v>
      </c>
    </row>
    <row r="8">
      <c r="A8" s="4" t="n">
        <v>5</v>
      </c>
      <c r="B8" s="4" t="n">
        <v>4</v>
      </c>
      <c r="C8" s="4" t="n">
        <v>1</v>
      </c>
      <c r="D8" s="4" t="n">
        <v>440</v>
      </c>
      <c r="E8" s="4" t="n">
        <v>5</v>
      </c>
      <c r="F8" s="4" t="n">
        <v>4</v>
      </c>
      <c r="G8" s="4" t="n">
        <v>6</v>
      </c>
      <c r="H8" s="4" t="n">
        <v>4</v>
      </c>
      <c r="I8" s="4" t="n">
        <v>5</v>
      </c>
      <c r="J8" s="4" t="n">
        <v>4</v>
      </c>
      <c r="K8" s="4" t="n">
        <v>4</v>
      </c>
      <c r="L8" s="4" t="n">
        <v>3</v>
      </c>
      <c r="M8" s="4" t="n">
        <v>4</v>
      </c>
      <c r="N8" s="4" t="n">
        <v>4</v>
      </c>
      <c r="O8" s="4" t="n">
        <v>4</v>
      </c>
      <c r="P8" s="4" t="n">
        <v>4</v>
      </c>
    </row>
    <row r="9">
      <c r="A9" s="4" t="n">
        <v>6</v>
      </c>
      <c r="B9" s="4" t="n">
        <v>4</v>
      </c>
      <c r="C9" s="4" t="n">
        <v>13</v>
      </c>
      <c r="D9" s="4" t="n">
        <v>365</v>
      </c>
      <c r="E9" s="4" t="n">
        <v>4</v>
      </c>
      <c r="F9" s="4" t="n">
        <v>5</v>
      </c>
      <c r="G9" s="4" t="n">
        <v>4</v>
      </c>
      <c r="H9" s="4" t="n">
        <v>6</v>
      </c>
      <c r="I9" s="4" t="n">
        <v>5</v>
      </c>
      <c r="J9" s="4" t="n">
        <v>4</v>
      </c>
      <c r="K9" s="4" t="n">
        <v>5</v>
      </c>
      <c r="L9" s="4" t="n">
        <v>5</v>
      </c>
      <c r="M9" s="4" t="n">
        <v>4</v>
      </c>
      <c r="N9" s="4" t="n">
        <v>4</v>
      </c>
      <c r="O9" s="4" t="n">
        <v>4</v>
      </c>
      <c r="P9" s="4" t="n">
        <v>4</v>
      </c>
    </row>
    <row r="10">
      <c r="A10" s="4" t="n">
        <v>7</v>
      </c>
      <c r="B10" s="4" t="n">
        <v>3</v>
      </c>
      <c r="C10" s="4" t="n">
        <v>15</v>
      </c>
      <c r="D10" s="4" t="n">
        <v>170</v>
      </c>
      <c r="E10" s="4" t="n">
        <v>4</v>
      </c>
      <c r="F10" s="4" t="n">
        <v>4</v>
      </c>
      <c r="G10" s="4" t="n">
        <v>3</v>
      </c>
      <c r="H10" s="4" t="n">
        <v>3</v>
      </c>
      <c r="I10" s="4" t="n">
        <v>3</v>
      </c>
      <c r="J10" s="4" t="n">
        <v>3</v>
      </c>
      <c r="K10" s="4" t="n">
        <v>3</v>
      </c>
      <c r="L10" s="4" t="n">
        <v>4</v>
      </c>
      <c r="M10" s="4" t="n">
        <v>4</v>
      </c>
      <c r="N10" s="4" t="n">
        <v>4</v>
      </c>
      <c r="O10" s="4" t="n">
        <v>3</v>
      </c>
      <c r="P10" s="4" t="n">
        <v>4</v>
      </c>
    </row>
    <row r="11">
      <c r="A11" s="4" t="n">
        <v>8</v>
      </c>
      <c r="B11" s="4" t="n">
        <v>4</v>
      </c>
      <c r="C11" s="4" t="n">
        <v>9</v>
      </c>
      <c r="D11" s="4" t="n">
        <v>405</v>
      </c>
      <c r="E11" s="4" t="n">
        <v>5</v>
      </c>
      <c r="F11" s="4" t="n">
        <v>3</v>
      </c>
      <c r="G11" s="4" t="n">
        <v>4</v>
      </c>
      <c r="H11" s="4" t="n">
        <v>3</v>
      </c>
      <c r="I11" s="4" t="n">
        <v>5</v>
      </c>
      <c r="J11" s="4" t="n">
        <v>5</v>
      </c>
      <c r="K11" s="4" t="n">
        <v>4</v>
      </c>
      <c r="L11" s="4" t="n">
        <v>4</v>
      </c>
      <c r="M11" s="4" t="n">
        <v>4</v>
      </c>
      <c r="N11" s="4" t="n">
        <v>5</v>
      </c>
      <c r="O11" s="4" t="n">
        <v>4</v>
      </c>
      <c r="P11" s="4" t="n">
        <v>6</v>
      </c>
    </row>
    <row r="12">
      <c r="A12" s="4" t="n">
        <v>9</v>
      </c>
      <c r="B12" s="4" t="n">
        <v>5</v>
      </c>
      <c r="C12" s="4" t="n">
        <v>5</v>
      </c>
      <c r="D12" s="4" t="n">
        <v>545</v>
      </c>
      <c r="E12" s="4" t="n">
        <v>7</v>
      </c>
      <c r="F12" s="4" t="n">
        <v>7</v>
      </c>
      <c r="G12" s="4" t="n">
        <v>5</v>
      </c>
      <c r="H12" s="4" t="n">
        <v>6</v>
      </c>
      <c r="I12" s="4" t="n">
        <v>5</v>
      </c>
      <c r="J12" s="4" t="n">
        <v>5</v>
      </c>
      <c r="K12" s="4" t="n">
        <v>8</v>
      </c>
      <c r="L12" s="4" t="n">
        <v>8</v>
      </c>
      <c r="M12" s="4" t="n">
        <v>6</v>
      </c>
      <c r="N12" s="4" t="n">
        <v>7</v>
      </c>
      <c r="O12" s="4" t="n">
        <v>7</v>
      </c>
      <c r="P12" s="4" t="n">
        <v>6</v>
      </c>
    </row>
    <row r="13">
      <c r="A13" s="4" t="n">
        <v>10</v>
      </c>
      <c r="B13" s="4" t="n">
        <v>4</v>
      </c>
      <c r="C13" s="4" t="n">
        <v>8</v>
      </c>
      <c r="D13" s="4" t="n">
        <v>395</v>
      </c>
      <c r="E13" s="4" t="n">
        <v>4</v>
      </c>
      <c r="F13" s="4" t="n">
        <v>4</v>
      </c>
      <c r="G13" s="4" t="n">
        <v>6</v>
      </c>
      <c r="H13" s="4" t="n">
        <v>6</v>
      </c>
      <c r="I13" s="4" t="n">
        <v>4</v>
      </c>
      <c r="J13" s="4" t="n">
        <v>3</v>
      </c>
      <c r="K13" s="4" t="n">
        <v>4</v>
      </c>
      <c r="L13" s="4" t="n">
        <v>4</v>
      </c>
      <c r="M13" s="4" t="n">
        <v>4</v>
      </c>
      <c r="N13" s="4" t="n">
        <v>5</v>
      </c>
      <c r="O13" s="4" t="n">
        <v>4</v>
      </c>
      <c r="P13" s="4" t="n">
        <v>5</v>
      </c>
    </row>
    <row r="14">
      <c r="A14" s="4" t="n">
        <v>11</v>
      </c>
      <c r="B14" s="4" t="n">
        <v>5</v>
      </c>
      <c r="C14" s="4" t="n">
        <v>2</v>
      </c>
      <c r="D14" s="4" t="n">
        <v>530</v>
      </c>
      <c r="E14" s="4" t="n">
        <v>7</v>
      </c>
      <c r="F14" s="4" t="n">
        <v>7</v>
      </c>
      <c r="G14" s="4" t="n">
        <v>8</v>
      </c>
      <c r="H14" s="4" t="n">
        <v>6</v>
      </c>
      <c r="I14" s="4" t="n">
        <v>8</v>
      </c>
      <c r="J14" s="4" t="n">
        <v>4</v>
      </c>
      <c r="K14" s="4" t="n">
        <v>5</v>
      </c>
      <c r="L14" s="4" t="n">
        <v>8</v>
      </c>
      <c r="M14" s="4" t="n">
        <v>6</v>
      </c>
      <c r="N14" s="4" t="n">
        <v>6</v>
      </c>
      <c r="O14" s="4" t="n">
        <v>5</v>
      </c>
      <c r="P14" s="4" t="n">
        <v>6</v>
      </c>
    </row>
    <row r="15">
      <c r="A15" s="4" t="n">
        <v>12</v>
      </c>
      <c r="B15" s="4" t="n">
        <v>3</v>
      </c>
      <c r="C15" s="4" t="n">
        <v>18</v>
      </c>
      <c r="D15" s="4" t="n">
        <v>180</v>
      </c>
      <c r="E15" s="4" t="n">
        <v>3</v>
      </c>
      <c r="F15" s="4" t="n">
        <v>3</v>
      </c>
      <c r="G15" s="4" t="n">
        <v>3</v>
      </c>
      <c r="H15" s="4" t="n">
        <v>2</v>
      </c>
      <c r="I15" s="4" t="n">
        <v>4</v>
      </c>
      <c r="J15" s="4" t="n">
        <v>4</v>
      </c>
      <c r="K15" s="4" t="n">
        <v>3</v>
      </c>
      <c r="L15" s="4" t="n">
        <v>4</v>
      </c>
      <c r="M15" s="4" t="n">
        <v>5</v>
      </c>
      <c r="N15" s="4" t="n">
        <v>3</v>
      </c>
      <c r="O15" s="4" t="n">
        <v>4</v>
      </c>
      <c r="P15" s="4" t="n">
        <v>2</v>
      </c>
    </row>
    <row r="16">
      <c r="A16" s="4" t="n">
        <v>13</v>
      </c>
      <c r="B16" s="4" t="n">
        <v>4</v>
      </c>
      <c r="C16" s="4" t="n">
        <v>10</v>
      </c>
      <c r="D16" s="4" t="n">
        <v>410</v>
      </c>
      <c r="E16" s="4" t="n">
        <v>4</v>
      </c>
      <c r="F16" s="4" t="n">
        <v>6</v>
      </c>
      <c r="G16" s="4" t="n">
        <v>4</v>
      </c>
      <c r="H16" s="4" t="n">
        <v>4</v>
      </c>
      <c r="I16" s="4" t="n">
        <v>5</v>
      </c>
      <c r="J16" s="4" t="n">
        <v>4</v>
      </c>
      <c r="K16" s="4" t="n">
        <v>6</v>
      </c>
      <c r="L16" s="4" t="n">
        <v>6</v>
      </c>
      <c r="M16" s="4" t="n">
        <v>3</v>
      </c>
      <c r="N16" s="4" t="n">
        <v>5</v>
      </c>
      <c r="O16" s="4" t="n">
        <v>6</v>
      </c>
      <c r="P16" s="4" t="n">
        <v>3</v>
      </c>
    </row>
    <row r="17">
      <c r="A17" s="4" t="n">
        <v>14</v>
      </c>
      <c r="B17" s="4" t="n">
        <v>4</v>
      </c>
      <c r="C17" s="4" t="n">
        <v>12</v>
      </c>
      <c r="D17" s="4" t="n">
        <v>360</v>
      </c>
      <c r="E17" s="4" t="n">
        <v>4</v>
      </c>
      <c r="F17" s="4" t="n">
        <v>5</v>
      </c>
      <c r="G17" s="4" t="n">
        <v>4</v>
      </c>
      <c r="H17" s="4" t="n">
        <v>4</v>
      </c>
      <c r="I17" s="4" t="n">
        <v>3</v>
      </c>
      <c r="J17" s="4" t="n">
        <v>4</v>
      </c>
      <c r="K17" s="4" t="n">
        <v>4</v>
      </c>
      <c r="L17" s="4" t="n">
        <v>4</v>
      </c>
      <c r="M17" s="4" t="n">
        <v>6</v>
      </c>
      <c r="N17" s="4" t="n">
        <v>4</v>
      </c>
      <c r="O17" s="4" t="n">
        <v>6</v>
      </c>
      <c r="P17" s="4" t="n">
        <v>4</v>
      </c>
    </row>
    <row r="18">
      <c r="A18" s="4" t="n">
        <v>15</v>
      </c>
      <c r="B18" s="4" t="n">
        <v>3</v>
      </c>
      <c r="C18" s="4" t="n">
        <v>16</v>
      </c>
      <c r="D18" s="4" t="n">
        <v>165</v>
      </c>
      <c r="E18" s="4" t="n">
        <v>3</v>
      </c>
      <c r="F18" s="4" t="n">
        <v>4</v>
      </c>
      <c r="G18" s="4" t="n">
        <v>3</v>
      </c>
      <c r="H18" s="4" t="n">
        <v>4</v>
      </c>
      <c r="I18" s="4" t="n">
        <v>3</v>
      </c>
      <c r="J18" s="4" t="n">
        <v>3</v>
      </c>
      <c r="K18" s="4" t="n">
        <v>4</v>
      </c>
      <c r="L18" s="4" t="n">
        <v>5</v>
      </c>
      <c r="M18" s="4" t="n">
        <v>4</v>
      </c>
      <c r="N18" s="4" t="n">
        <v>3</v>
      </c>
      <c r="O18" s="4" t="n">
        <v>3</v>
      </c>
      <c r="P18" s="4" t="n">
        <v>4</v>
      </c>
    </row>
    <row r="19">
      <c r="A19" s="4" t="n">
        <v>16</v>
      </c>
      <c r="B19" s="4" t="n">
        <v>4</v>
      </c>
      <c r="C19" s="4" t="n">
        <v>6</v>
      </c>
      <c r="D19" s="4" t="n">
        <v>425</v>
      </c>
      <c r="E19" s="4" t="n">
        <v>4</v>
      </c>
      <c r="F19" s="4" t="n">
        <v>4</v>
      </c>
      <c r="G19" s="4" t="n">
        <v>5</v>
      </c>
      <c r="H19" s="4" t="n">
        <v>5</v>
      </c>
      <c r="I19" s="4" t="n">
        <v>6</v>
      </c>
      <c r="J19" s="4" t="n">
        <v>6</v>
      </c>
      <c r="K19" s="4" t="n">
        <v>6</v>
      </c>
      <c r="L19" s="4" t="n">
        <v>4</v>
      </c>
      <c r="M19" s="4" t="n">
        <v>4</v>
      </c>
      <c r="N19" s="4" t="n">
        <v>4</v>
      </c>
      <c r="O19" s="4" t="n">
        <v>4</v>
      </c>
      <c r="P19" s="4" t="n">
        <v>5</v>
      </c>
    </row>
    <row r="20">
      <c r="A20" s="4" t="n">
        <v>17</v>
      </c>
      <c r="B20" s="4" t="n">
        <v>5</v>
      </c>
      <c r="C20" s="4" t="n">
        <v>4</v>
      </c>
      <c r="D20" s="4" t="n">
        <v>515</v>
      </c>
      <c r="E20" s="4" t="n">
        <v>4</v>
      </c>
      <c r="F20" s="4" t="n">
        <v>8</v>
      </c>
      <c r="G20" s="4" t="n">
        <v>5</v>
      </c>
      <c r="H20" s="4" t="n">
        <v>5</v>
      </c>
      <c r="I20" s="4" t="n">
        <v>4</v>
      </c>
      <c r="J20" s="4" t="n">
        <v>5</v>
      </c>
      <c r="K20" s="4" t="n">
        <v>4</v>
      </c>
      <c r="L20" s="4" t="n">
        <v>5</v>
      </c>
      <c r="M20" s="4" t="n">
        <v>5</v>
      </c>
      <c r="N20" s="4" t="n">
        <v>4</v>
      </c>
      <c r="O20" s="4" t="n">
        <v>6</v>
      </c>
      <c r="P20" s="4" t="n">
        <v>5</v>
      </c>
    </row>
    <row r="21">
      <c r="A21" s="4" t="n">
        <v>18</v>
      </c>
      <c r="B21" s="4" t="n">
        <v>4</v>
      </c>
      <c r="C21" s="4" t="n">
        <v>14</v>
      </c>
      <c r="D21" s="4" t="n">
        <v>390</v>
      </c>
      <c r="E21" s="4" t="n">
        <v>6</v>
      </c>
      <c r="F21" s="4" t="n">
        <v>4</v>
      </c>
      <c r="G21" s="4" t="n">
        <v>4</v>
      </c>
      <c r="H21" s="4" t="n">
        <v>6</v>
      </c>
      <c r="I21" s="4" t="n">
        <v>4</v>
      </c>
      <c r="J21" s="4" t="n">
        <v>6</v>
      </c>
      <c r="K21" s="4" t="n">
        <v>4</v>
      </c>
      <c r="L21" s="4" t="n">
        <v>6</v>
      </c>
      <c r="M21" s="4" t="n">
        <v>4</v>
      </c>
      <c r="N21" s="4" t="n">
        <v>6</v>
      </c>
      <c r="O21" s="4" t="n">
        <v>5</v>
      </c>
      <c r="P21" s="4" t="n">
        <v>4</v>
      </c>
    </row>
    <row r="23">
      <c r="A23" s="6" t="inlineStr">
        <is>
          <t>Player Totals</t>
        </is>
      </c>
    </row>
    <row r="24">
      <c r="A24" s="2" t="inlineStr">
        <is>
          <t>Player</t>
        </is>
      </c>
      <c r="B24" s="2" t="inlineStr">
        <is>
          <t>OUT</t>
        </is>
      </c>
      <c r="C24" s="2" t="inlineStr">
        <is>
          <t>IN</t>
        </is>
      </c>
      <c r="D24" s="2" t="inlineStr">
        <is>
          <t>TOTAL</t>
        </is>
      </c>
      <c r="E24" s="2" t="inlineStr">
        <is>
          <t>To Par</t>
        </is>
      </c>
    </row>
    <row r="25">
      <c r="A25" s="11" t="inlineStr">
        <is>
          <t>Player A1</t>
        </is>
      </c>
      <c r="B25" s="4">
        <f>SUM(E4:E12)</f>
        <v/>
      </c>
      <c r="C25" s="4">
        <f>SUM(E13:E21)</f>
        <v/>
      </c>
      <c r="D25" s="4">
        <f>B25+C25</f>
        <v/>
      </c>
      <c r="E25" s="4">
        <f>D25-72</f>
        <v/>
      </c>
    </row>
    <row r="26">
      <c r="A26" s="11" t="inlineStr">
        <is>
          <t>Player A2</t>
        </is>
      </c>
      <c r="B26" s="4">
        <f>SUM(F4:F12)</f>
        <v/>
      </c>
      <c r="C26" s="4">
        <f>SUM(F13:F21)</f>
        <v/>
      </c>
      <c r="D26" s="4">
        <f>B26+C26</f>
        <v/>
      </c>
      <c r="E26" s="4">
        <f>D26-72</f>
        <v/>
      </c>
    </row>
    <row r="27">
      <c r="A27" s="11" t="inlineStr">
        <is>
          <t>Player A3</t>
        </is>
      </c>
      <c r="B27" s="4">
        <f>SUM(G4:G12)</f>
        <v/>
      </c>
      <c r="C27" s="4">
        <f>SUM(G13:G21)</f>
        <v/>
      </c>
      <c r="D27" s="4">
        <f>B27+C27</f>
        <v/>
      </c>
      <c r="E27" s="4">
        <f>D27-72</f>
        <v/>
      </c>
    </row>
    <row r="28">
      <c r="A28" s="11" t="inlineStr">
        <is>
          <t>Player A4</t>
        </is>
      </c>
      <c r="B28" s="4">
        <f>SUM(H4:H12)</f>
        <v/>
      </c>
      <c r="C28" s="4">
        <f>SUM(H13:H21)</f>
        <v/>
      </c>
      <c r="D28" s="4">
        <f>B28+C28</f>
        <v/>
      </c>
      <c r="E28" s="4">
        <f>D28-72</f>
        <v/>
      </c>
    </row>
    <row r="29">
      <c r="A29" s="11" t="inlineStr">
        <is>
          <t>Player B1</t>
        </is>
      </c>
      <c r="B29" s="4">
        <f>SUM(I4:I12)</f>
        <v/>
      </c>
      <c r="C29" s="4">
        <f>SUM(I13:I21)</f>
        <v/>
      </c>
      <c r="D29" s="4">
        <f>B29+C29</f>
        <v/>
      </c>
      <c r="E29" s="4">
        <f>D29-72</f>
        <v/>
      </c>
    </row>
    <row r="30">
      <c r="A30" s="11" t="inlineStr">
        <is>
          <t>Player B2</t>
        </is>
      </c>
      <c r="B30" s="4">
        <f>SUM(J4:J12)</f>
        <v/>
      </c>
      <c r="C30" s="4">
        <f>SUM(J13:J21)</f>
        <v/>
      </c>
      <c r="D30" s="4">
        <f>B30+C30</f>
        <v/>
      </c>
      <c r="E30" s="4">
        <f>D30-72</f>
        <v/>
      </c>
    </row>
    <row r="31">
      <c r="A31" s="11" t="inlineStr">
        <is>
          <t>Player B3</t>
        </is>
      </c>
      <c r="B31" s="4">
        <f>SUM(K4:K12)</f>
        <v/>
      </c>
      <c r="C31" s="4">
        <f>SUM(K13:K21)</f>
        <v/>
      </c>
      <c r="D31" s="4">
        <f>B31+C31</f>
        <v/>
      </c>
      <c r="E31" s="4">
        <f>D31-72</f>
        <v/>
      </c>
    </row>
    <row r="32">
      <c r="A32" s="11" t="inlineStr">
        <is>
          <t>Player B4</t>
        </is>
      </c>
      <c r="B32" s="4">
        <f>SUM(L4:L12)</f>
        <v/>
      </c>
      <c r="C32" s="4">
        <f>SUM(L13:L21)</f>
        <v/>
      </c>
      <c r="D32" s="4">
        <f>B32+C32</f>
        <v/>
      </c>
      <c r="E32" s="4">
        <f>D32-72</f>
        <v/>
      </c>
    </row>
    <row r="33">
      <c r="A33" s="11" t="inlineStr">
        <is>
          <t>Player C1</t>
        </is>
      </c>
      <c r="B33" s="4">
        <f>SUM(M4:M12)</f>
        <v/>
      </c>
      <c r="C33" s="4">
        <f>SUM(M13:M21)</f>
        <v/>
      </c>
      <c r="D33" s="4">
        <f>B33+C33</f>
        <v/>
      </c>
      <c r="E33" s="4">
        <f>D33-72</f>
        <v/>
      </c>
    </row>
    <row r="34">
      <c r="A34" s="11" t="inlineStr">
        <is>
          <t>Player C2</t>
        </is>
      </c>
      <c r="B34" s="4">
        <f>SUM(N4:N12)</f>
        <v/>
      </c>
      <c r="C34" s="4">
        <f>SUM(N13:N21)</f>
        <v/>
      </c>
      <c r="D34" s="4">
        <f>B34+C34</f>
        <v/>
      </c>
      <c r="E34" s="4">
        <f>D34-72</f>
        <v/>
      </c>
    </row>
    <row r="35">
      <c r="A35" s="11" t="inlineStr">
        <is>
          <t>Player C3</t>
        </is>
      </c>
      <c r="B35" s="4">
        <f>SUM(O4:O12)</f>
        <v/>
      </c>
      <c r="C35" s="4">
        <f>SUM(O13:O21)</f>
        <v/>
      </c>
      <c r="D35" s="4">
        <f>B35+C35</f>
        <v/>
      </c>
      <c r="E35" s="4">
        <f>D35-72</f>
        <v/>
      </c>
    </row>
    <row r="36">
      <c r="A36" s="11" t="inlineStr">
        <is>
          <t>Player C4</t>
        </is>
      </c>
      <c r="B36" s="4">
        <f>SUM(P4:P12)</f>
        <v/>
      </c>
      <c r="C36" s="4">
        <f>SUM(P13:P21)</f>
        <v/>
      </c>
      <c r="D36" s="4">
        <f>B36+C36</f>
        <v/>
      </c>
      <c r="E36" s="4">
        <f>D36-72</f>
        <v/>
      </c>
    </row>
    <row r="37">
      <c r="A37" s="11" t="n"/>
      <c r="B37" s="11" t="n"/>
      <c r="C37" s="11" t="n"/>
      <c r="D37" s="11" t="n"/>
      <c r="E37" s="11" t="n"/>
    </row>
  </sheetData>
  <mergeCells count="1">
    <mergeCell ref="A23:D2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Y25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5" customWidth="1" min="2" max="2"/>
    <col width="12" customWidth="1" min="3" max="3"/>
    <col width="9" customWidth="1" min="4" max="4"/>
    <col width="9" customWidth="1" min="5" max="5"/>
    <col width="12" customWidth="1" min="6" max="6"/>
    <col width="9" customWidth="1" min="7" max="7"/>
    <col width="9" customWidth="1" min="8" max="8"/>
    <col width="12" customWidth="1" min="9" max="9"/>
    <col width="9" customWidth="1" min="10" max="10"/>
    <col width="9" customWidth="1" min="11" max="11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</cols>
  <sheetData>
    <row r="1">
      <c r="A1" s="5" t="inlineStr">
        <is>
          <t>Team Scoring — Best 2 of 4 (Gross)</t>
        </is>
      </c>
    </row>
    <row r="3">
      <c r="A3" s="2" t="inlineStr">
        <is>
          <t>Hole</t>
        </is>
      </c>
      <c r="B3" s="2" t="inlineStr">
        <is>
          <t>Par</t>
        </is>
      </c>
      <c r="C3" s="2" t="inlineStr">
        <is>
          <t>Team A Best2</t>
        </is>
      </c>
      <c r="D3" s="2" t="inlineStr">
        <is>
          <t>Team A ToPar</t>
        </is>
      </c>
      <c r="E3" s="2" t="inlineStr">
        <is>
          <t>Team A Disp</t>
        </is>
      </c>
      <c r="F3" s="2" t="inlineStr">
        <is>
          <t>Team B Best2</t>
        </is>
      </c>
      <c r="G3" s="2" t="inlineStr">
        <is>
          <t>Team B ToPar</t>
        </is>
      </c>
      <c r="H3" s="2" t="inlineStr">
        <is>
          <t>Team B Disp</t>
        </is>
      </c>
      <c r="I3" s="2" t="inlineStr">
        <is>
          <t>Team C Best2</t>
        </is>
      </c>
      <c r="J3" s="2" t="inlineStr">
        <is>
          <t>Team C ToPar</t>
        </is>
      </c>
      <c r="K3" s="2" t="inlineStr">
        <is>
          <t>Team C Disp</t>
        </is>
      </c>
      <c r="M3" s="7" t="inlineStr">
        <is>
          <t>Helper</t>
        </is>
      </c>
      <c r="N3" s="8" t="inlineStr">
        <is>
          <t>Player A1</t>
        </is>
      </c>
      <c r="O3" s="8" t="inlineStr">
        <is>
          <t>Player A2</t>
        </is>
      </c>
      <c r="P3" s="8" t="inlineStr">
        <is>
          <t>Player A3</t>
        </is>
      </c>
      <c r="Q3" s="8" t="inlineStr">
        <is>
          <t>Player A4</t>
        </is>
      </c>
      <c r="R3" s="8" t="inlineStr">
        <is>
          <t>Player B1</t>
        </is>
      </c>
      <c r="S3" s="8" t="inlineStr">
        <is>
          <t>Player B2</t>
        </is>
      </c>
      <c r="T3" s="8" t="inlineStr">
        <is>
          <t>Player B3</t>
        </is>
      </c>
      <c r="U3" s="8" t="inlineStr">
        <is>
          <t>Player B4</t>
        </is>
      </c>
      <c r="V3" s="8" t="inlineStr">
        <is>
          <t>Player C1</t>
        </is>
      </c>
      <c r="W3" s="8" t="inlineStr">
        <is>
          <t>Player C2</t>
        </is>
      </c>
      <c r="X3" s="8" t="inlineStr">
        <is>
          <t>Player C3</t>
        </is>
      </c>
      <c r="Y3" s="8" t="inlineStr">
        <is>
          <t>Player C4</t>
        </is>
      </c>
    </row>
    <row r="4">
      <c r="A4" s="4" t="n">
        <v>1</v>
      </c>
      <c r="B4" s="4" t="n">
        <v>4</v>
      </c>
      <c r="C4" s="4">
        <f>SMALL(N4:Q4,1)+SMALL(N4:Q4,2)</f>
        <v/>
      </c>
      <c r="D4" s="4">
        <f>C4-(B4*2)</f>
        <v/>
      </c>
      <c r="E4" s="4">
        <f>IF(D4=0,"E",D4)</f>
        <v/>
      </c>
      <c r="F4" s="4">
        <f>SMALL(R4:U4,1)+SMALL(R4:U4,2)</f>
        <v/>
      </c>
      <c r="G4" s="4">
        <f>F4-(B4*2)</f>
        <v/>
      </c>
      <c r="H4" s="4">
        <f>IF(G4=0,"E",G4)</f>
        <v/>
      </c>
      <c r="I4" s="4">
        <f>SMALL(V4:Y4,1)+SMALL(V4:Y4,2)</f>
        <v/>
      </c>
      <c r="J4" s="4">
        <f>I4-(B4*2)</f>
        <v/>
      </c>
      <c r="K4" s="4">
        <f>IF(J4=0,"E",J4)</f>
        <v/>
      </c>
      <c r="N4">
        <f>Scorecard!E4</f>
        <v/>
      </c>
      <c r="O4">
        <f>Scorecard!F4</f>
        <v/>
      </c>
      <c r="P4">
        <f>Scorecard!G4</f>
        <v/>
      </c>
      <c r="Q4">
        <f>Scorecard!H4</f>
        <v/>
      </c>
      <c r="R4">
        <f>Scorecard!I4</f>
        <v/>
      </c>
      <c r="S4">
        <f>Scorecard!J4</f>
        <v/>
      </c>
      <c r="T4">
        <f>Scorecard!K4</f>
        <v/>
      </c>
      <c r="U4">
        <f>Scorecard!L4</f>
        <v/>
      </c>
      <c r="V4">
        <f>Scorecard!M4</f>
        <v/>
      </c>
      <c r="W4">
        <f>Scorecard!N4</f>
        <v/>
      </c>
      <c r="X4">
        <f>Scorecard!O4</f>
        <v/>
      </c>
      <c r="Y4">
        <f>Scorecard!P4</f>
        <v/>
      </c>
    </row>
    <row r="5">
      <c r="A5" s="4" t="n">
        <v>2</v>
      </c>
      <c r="B5" s="4" t="n">
        <v>4</v>
      </c>
      <c r="C5" s="4">
        <f>SMALL(N5:Q5,1)+SMALL(N5:Q5,2)</f>
        <v/>
      </c>
      <c r="D5" s="4">
        <f>C5-(B5*2)</f>
        <v/>
      </c>
      <c r="E5" s="4">
        <f>IF(D5=0,"E",D5)</f>
        <v/>
      </c>
      <c r="F5" s="4">
        <f>SMALL(R5:U5,1)+SMALL(R5:U5,2)</f>
        <v/>
      </c>
      <c r="G5" s="4">
        <f>F5-(B5*2)</f>
        <v/>
      </c>
      <c r="H5" s="4">
        <f>IF(G5=0,"E",G5)</f>
        <v/>
      </c>
      <c r="I5" s="4">
        <f>SMALL(V5:Y5,1)+SMALL(V5:Y5,2)</f>
        <v/>
      </c>
      <c r="J5" s="4">
        <f>I5-(B5*2)</f>
        <v/>
      </c>
      <c r="K5" s="4">
        <f>IF(J5=0,"E",J5)</f>
        <v/>
      </c>
      <c r="N5">
        <f>Scorecard!E5</f>
        <v/>
      </c>
      <c r="O5">
        <f>Scorecard!F5</f>
        <v/>
      </c>
      <c r="P5">
        <f>Scorecard!G5</f>
        <v/>
      </c>
      <c r="Q5">
        <f>Scorecard!H5</f>
        <v/>
      </c>
      <c r="R5">
        <f>Scorecard!I5</f>
        <v/>
      </c>
      <c r="S5">
        <f>Scorecard!J5</f>
        <v/>
      </c>
      <c r="T5">
        <f>Scorecard!K5</f>
        <v/>
      </c>
      <c r="U5">
        <f>Scorecard!L5</f>
        <v/>
      </c>
      <c r="V5">
        <f>Scorecard!M5</f>
        <v/>
      </c>
      <c r="W5">
        <f>Scorecard!N5</f>
        <v/>
      </c>
      <c r="X5">
        <f>Scorecard!O5</f>
        <v/>
      </c>
      <c r="Y5">
        <f>Scorecard!P5</f>
        <v/>
      </c>
    </row>
    <row r="6">
      <c r="A6" s="4" t="n">
        <v>3</v>
      </c>
      <c r="B6" s="4" t="n">
        <v>3</v>
      </c>
      <c r="C6" s="4">
        <f>SMALL(N6:Q6,1)+SMALL(N6:Q6,2)</f>
        <v/>
      </c>
      <c r="D6" s="4">
        <f>C6-(B6*2)</f>
        <v/>
      </c>
      <c r="E6" s="4">
        <f>IF(D6=0,"E",D6)</f>
        <v/>
      </c>
      <c r="F6" s="4">
        <f>SMALL(R6:U6,1)+SMALL(R6:U6,2)</f>
        <v/>
      </c>
      <c r="G6" s="4">
        <f>F6-(B6*2)</f>
        <v/>
      </c>
      <c r="H6" s="4">
        <f>IF(G6=0,"E",G6)</f>
        <v/>
      </c>
      <c r="I6" s="4">
        <f>SMALL(V6:Y6,1)+SMALL(V6:Y6,2)</f>
        <v/>
      </c>
      <c r="J6" s="4">
        <f>I6-(B6*2)</f>
        <v/>
      </c>
      <c r="K6" s="4">
        <f>IF(J6=0,"E",J6)</f>
        <v/>
      </c>
      <c r="N6">
        <f>Scorecard!E6</f>
        <v/>
      </c>
      <c r="O6">
        <f>Scorecard!F6</f>
        <v/>
      </c>
      <c r="P6">
        <f>Scorecard!G6</f>
        <v/>
      </c>
      <c r="Q6">
        <f>Scorecard!H6</f>
        <v/>
      </c>
      <c r="R6">
        <f>Scorecard!I6</f>
        <v/>
      </c>
      <c r="S6">
        <f>Scorecard!J6</f>
        <v/>
      </c>
      <c r="T6">
        <f>Scorecard!K6</f>
        <v/>
      </c>
      <c r="U6">
        <f>Scorecard!L6</f>
        <v/>
      </c>
      <c r="V6">
        <f>Scorecard!M6</f>
        <v/>
      </c>
      <c r="W6">
        <f>Scorecard!N6</f>
        <v/>
      </c>
      <c r="X6">
        <f>Scorecard!O6</f>
        <v/>
      </c>
      <c r="Y6">
        <f>Scorecard!P6</f>
        <v/>
      </c>
    </row>
    <row r="7">
      <c r="A7" s="4" t="n">
        <v>4</v>
      </c>
      <c r="B7" s="4" t="n">
        <v>5</v>
      </c>
      <c r="C7" s="4">
        <f>SMALL(N7:Q7,1)+SMALL(N7:Q7,2)</f>
        <v/>
      </c>
      <c r="D7" s="4">
        <f>C7-(B7*2)</f>
        <v/>
      </c>
      <c r="E7" s="4">
        <f>IF(D7=0,"E",D7)</f>
        <v/>
      </c>
      <c r="F7" s="4">
        <f>SMALL(R7:U7,1)+SMALL(R7:U7,2)</f>
        <v/>
      </c>
      <c r="G7" s="4">
        <f>F7-(B7*2)</f>
        <v/>
      </c>
      <c r="H7" s="4">
        <f>IF(G7=0,"E",G7)</f>
        <v/>
      </c>
      <c r="I7" s="4">
        <f>SMALL(V7:Y7,1)+SMALL(V7:Y7,2)</f>
        <v/>
      </c>
      <c r="J7" s="4">
        <f>I7-(B7*2)</f>
        <v/>
      </c>
      <c r="K7" s="4">
        <f>IF(J7=0,"E",J7)</f>
        <v/>
      </c>
      <c r="N7">
        <f>Scorecard!E7</f>
        <v/>
      </c>
      <c r="O7">
        <f>Scorecard!F7</f>
        <v/>
      </c>
      <c r="P7">
        <f>Scorecard!G7</f>
        <v/>
      </c>
      <c r="Q7">
        <f>Scorecard!H7</f>
        <v/>
      </c>
      <c r="R7">
        <f>Scorecard!I7</f>
        <v/>
      </c>
      <c r="S7">
        <f>Scorecard!J7</f>
        <v/>
      </c>
      <c r="T7">
        <f>Scorecard!K7</f>
        <v/>
      </c>
      <c r="U7">
        <f>Scorecard!L7</f>
        <v/>
      </c>
      <c r="V7">
        <f>Scorecard!M7</f>
        <v/>
      </c>
      <c r="W7">
        <f>Scorecard!N7</f>
        <v/>
      </c>
      <c r="X7">
        <f>Scorecard!O7</f>
        <v/>
      </c>
      <c r="Y7">
        <f>Scorecard!P7</f>
        <v/>
      </c>
    </row>
    <row r="8">
      <c r="A8" s="4" t="n">
        <v>5</v>
      </c>
      <c r="B8" s="4" t="n">
        <v>4</v>
      </c>
      <c r="C8" s="4">
        <f>SMALL(N8:Q8,1)+SMALL(N8:Q8,2)</f>
        <v/>
      </c>
      <c r="D8" s="4">
        <f>C8-(B8*2)</f>
        <v/>
      </c>
      <c r="E8" s="4">
        <f>IF(D8=0,"E",D8)</f>
        <v/>
      </c>
      <c r="F8" s="4">
        <f>SMALL(R8:U8,1)+SMALL(R8:U8,2)</f>
        <v/>
      </c>
      <c r="G8" s="4">
        <f>F8-(B8*2)</f>
        <v/>
      </c>
      <c r="H8" s="4">
        <f>IF(G8=0,"E",G8)</f>
        <v/>
      </c>
      <c r="I8" s="4">
        <f>SMALL(V8:Y8,1)+SMALL(V8:Y8,2)</f>
        <v/>
      </c>
      <c r="J8" s="4">
        <f>I8-(B8*2)</f>
        <v/>
      </c>
      <c r="K8" s="4">
        <f>IF(J8=0,"E",J8)</f>
        <v/>
      </c>
      <c r="N8">
        <f>Scorecard!E8</f>
        <v/>
      </c>
      <c r="O8">
        <f>Scorecard!F8</f>
        <v/>
      </c>
      <c r="P8">
        <f>Scorecard!G8</f>
        <v/>
      </c>
      <c r="Q8">
        <f>Scorecard!H8</f>
        <v/>
      </c>
      <c r="R8">
        <f>Scorecard!I8</f>
        <v/>
      </c>
      <c r="S8">
        <f>Scorecard!J8</f>
        <v/>
      </c>
      <c r="T8">
        <f>Scorecard!K8</f>
        <v/>
      </c>
      <c r="U8">
        <f>Scorecard!L8</f>
        <v/>
      </c>
      <c r="V8">
        <f>Scorecard!M8</f>
        <v/>
      </c>
      <c r="W8">
        <f>Scorecard!N8</f>
        <v/>
      </c>
      <c r="X8">
        <f>Scorecard!O8</f>
        <v/>
      </c>
      <c r="Y8">
        <f>Scorecard!P8</f>
        <v/>
      </c>
    </row>
    <row r="9">
      <c r="A9" s="4" t="n">
        <v>6</v>
      </c>
      <c r="B9" s="4" t="n">
        <v>4</v>
      </c>
      <c r="C9" s="4">
        <f>SMALL(N9:Q9,1)+SMALL(N9:Q9,2)</f>
        <v/>
      </c>
      <c r="D9" s="4">
        <f>C9-(B9*2)</f>
        <v/>
      </c>
      <c r="E9" s="4">
        <f>IF(D9=0,"E",D9)</f>
        <v/>
      </c>
      <c r="F9" s="4">
        <f>SMALL(R9:U9,1)+SMALL(R9:U9,2)</f>
        <v/>
      </c>
      <c r="G9" s="4">
        <f>F9-(B9*2)</f>
        <v/>
      </c>
      <c r="H9" s="4">
        <f>IF(G9=0,"E",G9)</f>
        <v/>
      </c>
      <c r="I9" s="4">
        <f>SMALL(V9:Y9,1)+SMALL(V9:Y9,2)</f>
        <v/>
      </c>
      <c r="J9" s="4">
        <f>I9-(B9*2)</f>
        <v/>
      </c>
      <c r="K9" s="4">
        <f>IF(J9=0,"E",J9)</f>
        <v/>
      </c>
      <c r="N9">
        <f>Scorecard!E9</f>
        <v/>
      </c>
      <c r="O9">
        <f>Scorecard!F9</f>
        <v/>
      </c>
      <c r="P9">
        <f>Scorecard!G9</f>
        <v/>
      </c>
      <c r="Q9">
        <f>Scorecard!H9</f>
        <v/>
      </c>
      <c r="R9">
        <f>Scorecard!I9</f>
        <v/>
      </c>
      <c r="S9">
        <f>Scorecard!J9</f>
        <v/>
      </c>
      <c r="T9">
        <f>Scorecard!K9</f>
        <v/>
      </c>
      <c r="U9">
        <f>Scorecard!L9</f>
        <v/>
      </c>
      <c r="V9">
        <f>Scorecard!M9</f>
        <v/>
      </c>
      <c r="W9">
        <f>Scorecard!N9</f>
        <v/>
      </c>
      <c r="X9">
        <f>Scorecard!O9</f>
        <v/>
      </c>
      <c r="Y9">
        <f>Scorecard!P9</f>
        <v/>
      </c>
    </row>
    <row r="10">
      <c r="A10" s="4" t="n">
        <v>7</v>
      </c>
      <c r="B10" s="4" t="n">
        <v>3</v>
      </c>
      <c r="C10" s="4">
        <f>SMALL(N10:Q10,1)+SMALL(N10:Q10,2)</f>
        <v/>
      </c>
      <c r="D10" s="4">
        <f>C10-(B10*2)</f>
        <v/>
      </c>
      <c r="E10" s="4">
        <f>IF(D10=0,"E",D10)</f>
        <v/>
      </c>
      <c r="F10" s="4">
        <f>SMALL(R10:U10,1)+SMALL(R10:U10,2)</f>
        <v/>
      </c>
      <c r="G10" s="4">
        <f>F10-(B10*2)</f>
        <v/>
      </c>
      <c r="H10" s="4">
        <f>IF(G10=0,"E",G10)</f>
        <v/>
      </c>
      <c r="I10" s="4">
        <f>SMALL(V10:Y10,1)+SMALL(V10:Y10,2)</f>
        <v/>
      </c>
      <c r="J10" s="4">
        <f>I10-(B10*2)</f>
        <v/>
      </c>
      <c r="K10" s="4">
        <f>IF(J10=0,"E",J10)</f>
        <v/>
      </c>
      <c r="N10">
        <f>Scorecard!E10</f>
        <v/>
      </c>
      <c r="O10">
        <f>Scorecard!F10</f>
        <v/>
      </c>
      <c r="P10">
        <f>Scorecard!G10</f>
        <v/>
      </c>
      <c r="Q10">
        <f>Scorecard!H10</f>
        <v/>
      </c>
      <c r="R10">
        <f>Scorecard!I10</f>
        <v/>
      </c>
      <c r="S10">
        <f>Scorecard!J10</f>
        <v/>
      </c>
      <c r="T10">
        <f>Scorecard!K10</f>
        <v/>
      </c>
      <c r="U10">
        <f>Scorecard!L10</f>
        <v/>
      </c>
      <c r="V10">
        <f>Scorecard!M10</f>
        <v/>
      </c>
      <c r="W10">
        <f>Scorecard!N10</f>
        <v/>
      </c>
      <c r="X10">
        <f>Scorecard!O10</f>
        <v/>
      </c>
      <c r="Y10">
        <f>Scorecard!P10</f>
        <v/>
      </c>
    </row>
    <row r="11">
      <c r="A11" s="4" t="n">
        <v>8</v>
      </c>
      <c r="B11" s="4" t="n">
        <v>4</v>
      </c>
      <c r="C11" s="4">
        <f>SMALL(N11:Q11,1)+SMALL(N11:Q11,2)</f>
        <v/>
      </c>
      <c r="D11" s="4">
        <f>C11-(B11*2)</f>
        <v/>
      </c>
      <c r="E11" s="4">
        <f>IF(D11=0,"E",D11)</f>
        <v/>
      </c>
      <c r="F11" s="4">
        <f>SMALL(R11:U11,1)+SMALL(R11:U11,2)</f>
        <v/>
      </c>
      <c r="G11" s="4">
        <f>F11-(B11*2)</f>
        <v/>
      </c>
      <c r="H11" s="4">
        <f>IF(G11=0,"E",G11)</f>
        <v/>
      </c>
      <c r="I11" s="4">
        <f>SMALL(V11:Y11,1)+SMALL(V11:Y11,2)</f>
        <v/>
      </c>
      <c r="J11" s="4">
        <f>I11-(B11*2)</f>
        <v/>
      </c>
      <c r="K11" s="4">
        <f>IF(J11=0,"E",J11)</f>
        <v/>
      </c>
      <c r="N11">
        <f>Scorecard!E11</f>
        <v/>
      </c>
      <c r="O11">
        <f>Scorecard!F11</f>
        <v/>
      </c>
      <c r="P11">
        <f>Scorecard!G11</f>
        <v/>
      </c>
      <c r="Q11">
        <f>Scorecard!H11</f>
        <v/>
      </c>
      <c r="R11">
        <f>Scorecard!I11</f>
        <v/>
      </c>
      <c r="S11">
        <f>Scorecard!J11</f>
        <v/>
      </c>
      <c r="T11">
        <f>Scorecard!K11</f>
        <v/>
      </c>
      <c r="U11">
        <f>Scorecard!L11</f>
        <v/>
      </c>
      <c r="V11">
        <f>Scorecard!M11</f>
        <v/>
      </c>
      <c r="W11">
        <f>Scorecard!N11</f>
        <v/>
      </c>
      <c r="X11">
        <f>Scorecard!O11</f>
        <v/>
      </c>
      <c r="Y11">
        <f>Scorecard!P11</f>
        <v/>
      </c>
    </row>
    <row r="12">
      <c r="A12" s="4" t="n">
        <v>9</v>
      </c>
      <c r="B12" s="4" t="n">
        <v>5</v>
      </c>
      <c r="C12" s="4">
        <f>SMALL(N12:Q12,1)+SMALL(N12:Q12,2)</f>
        <v/>
      </c>
      <c r="D12" s="4">
        <f>C12-(B12*2)</f>
        <v/>
      </c>
      <c r="E12" s="4">
        <f>IF(D12=0,"E",D12)</f>
        <v/>
      </c>
      <c r="F12" s="4">
        <f>SMALL(R12:U12,1)+SMALL(R12:U12,2)</f>
        <v/>
      </c>
      <c r="G12" s="4">
        <f>F12-(B12*2)</f>
        <v/>
      </c>
      <c r="H12" s="4">
        <f>IF(G12=0,"E",G12)</f>
        <v/>
      </c>
      <c r="I12" s="4">
        <f>SMALL(V12:Y12,1)+SMALL(V12:Y12,2)</f>
        <v/>
      </c>
      <c r="J12" s="4">
        <f>I12-(B12*2)</f>
        <v/>
      </c>
      <c r="K12" s="4">
        <f>IF(J12=0,"E",J12)</f>
        <v/>
      </c>
      <c r="N12">
        <f>Scorecard!E12</f>
        <v/>
      </c>
      <c r="O12">
        <f>Scorecard!F12</f>
        <v/>
      </c>
      <c r="P12">
        <f>Scorecard!G12</f>
        <v/>
      </c>
      <c r="Q12">
        <f>Scorecard!H12</f>
        <v/>
      </c>
      <c r="R12">
        <f>Scorecard!I12</f>
        <v/>
      </c>
      <c r="S12">
        <f>Scorecard!J12</f>
        <v/>
      </c>
      <c r="T12">
        <f>Scorecard!K12</f>
        <v/>
      </c>
      <c r="U12">
        <f>Scorecard!L12</f>
        <v/>
      </c>
      <c r="V12">
        <f>Scorecard!M12</f>
        <v/>
      </c>
      <c r="W12">
        <f>Scorecard!N12</f>
        <v/>
      </c>
      <c r="X12">
        <f>Scorecard!O12</f>
        <v/>
      </c>
      <c r="Y12">
        <f>Scorecard!P12</f>
        <v/>
      </c>
    </row>
    <row r="13">
      <c r="A13" s="4" t="n">
        <v>10</v>
      </c>
      <c r="B13" s="4" t="n">
        <v>4</v>
      </c>
      <c r="C13" s="4">
        <f>SMALL(N13:Q13,1)+SMALL(N13:Q13,2)</f>
        <v/>
      </c>
      <c r="D13" s="4">
        <f>C13-(B13*2)</f>
        <v/>
      </c>
      <c r="E13" s="4">
        <f>IF(D13=0,"E",D13)</f>
        <v/>
      </c>
      <c r="F13" s="4">
        <f>SMALL(R13:U13,1)+SMALL(R13:U13,2)</f>
        <v/>
      </c>
      <c r="G13" s="4">
        <f>F13-(B13*2)</f>
        <v/>
      </c>
      <c r="H13" s="4">
        <f>IF(G13=0,"E",G13)</f>
        <v/>
      </c>
      <c r="I13" s="4">
        <f>SMALL(V13:Y13,1)+SMALL(V13:Y13,2)</f>
        <v/>
      </c>
      <c r="J13" s="4">
        <f>I13-(B13*2)</f>
        <v/>
      </c>
      <c r="K13" s="4">
        <f>IF(J13=0,"E",J13)</f>
        <v/>
      </c>
      <c r="N13">
        <f>Scorecard!E13</f>
        <v/>
      </c>
      <c r="O13">
        <f>Scorecard!F13</f>
        <v/>
      </c>
      <c r="P13">
        <f>Scorecard!G13</f>
        <v/>
      </c>
      <c r="Q13">
        <f>Scorecard!H13</f>
        <v/>
      </c>
      <c r="R13">
        <f>Scorecard!I13</f>
        <v/>
      </c>
      <c r="S13">
        <f>Scorecard!J13</f>
        <v/>
      </c>
      <c r="T13">
        <f>Scorecard!K13</f>
        <v/>
      </c>
      <c r="U13">
        <f>Scorecard!L13</f>
        <v/>
      </c>
      <c r="V13">
        <f>Scorecard!M13</f>
        <v/>
      </c>
      <c r="W13">
        <f>Scorecard!N13</f>
        <v/>
      </c>
      <c r="X13">
        <f>Scorecard!O13</f>
        <v/>
      </c>
      <c r="Y13">
        <f>Scorecard!P13</f>
        <v/>
      </c>
    </row>
    <row r="14">
      <c r="A14" s="4" t="n">
        <v>11</v>
      </c>
      <c r="B14" s="4" t="n">
        <v>5</v>
      </c>
      <c r="C14" s="4">
        <f>SMALL(N14:Q14,1)+SMALL(N14:Q14,2)</f>
        <v/>
      </c>
      <c r="D14" s="4">
        <f>C14-(B14*2)</f>
        <v/>
      </c>
      <c r="E14" s="4">
        <f>IF(D14=0,"E",D14)</f>
        <v/>
      </c>
      <c r="F14" s="4">
        <f>SMALL(R14:U14,1)+SMALL(R14:U14,2)</f>
        <v/>
      </c>
      <c r="G14" s="4">
        <f>F14-(B14*2)</f>
        <v/>
      </c>
      <c r="H14" s="4">
        <f>IF(G14=0,"E",G14)</f>
        <v/>
      </c>
      <c r="I14" s="4">
        <f>SMALL(V14:Y14,1)+SMALL(V14:Y14,2)</f>
        <v/>
      </c>
      <c r="J14" s="4">
        <f>I14-(B14*2)</f>
        <v/>
      </c>
      <c r="K14" s="4">
        <f>IF(J14=0,"E",J14)</f>
        <v/>
      </c>
      <c r="N14">
        <f>Scorecard!E14</f>
        <v/>
      </c>
      <c r="O14">
        <f>Scorecard!F14</f>
        <v/>
      </c>
      <c r="P14">
        <f>Scorecard!G14</f>
        <v/>
      </c>
      <c r="Q14">
        <f>Scorecard!H14</f>
        <v/>
      </c>
      <c r="R14">
        <f>Scorecard!I14</f>
        <v/>
      </c>
      <c r="S14">
        <f>Scorecard!J14</f>
        <v/>
      </c>
      <c r="T14">
        <f>Scorecard!K14</f>
        <v/>
      </c>
      <c r="U14">
        <f>Scorecard!L14</f>
        <v/>
      </c>
      <c r="V14">
        <f>Scorecard!M14</f>
        <v/>
      </c>
      <c r="W14">
        <f>Scorecard!N14</f>
        <v/>
      </c>
      <c r="X14">
        <f>Scorecard!O14</f>
        <v/>
      </c>
      <c r="Y14">
        <f>Scorecard!P14</f>
        <v/>
      </c>
    </row>
    <row r="15">
      <c r="A15" s="4" t="n">
        <v>12</v>
      </c>
      <c r="B15" s="4" t="n">
        <v>3</v>
      </c>
      <c r="C15" s="4">
        <f>SMALL(N15:Q15,1)+SMALL(N15:Q15,2)</f>
        <v/>
      </c>
      <c r="D15" s="4">
        <f>C15-(B15*2)</f>
        <v/>
      </c>
      <c r="E15" s="4">
        <f>IF(D15=0,"E",D15)</f>
        <v/>
      </c>
      <c r="F15" s="4">
        <f>SMALL(R15:U15,1)+SMALL(R15:U15,2)</f>
        <v/>
      </c>
      <c r="G15" s="4">
        <f>F15-(B15*2)</f>
        <v/>
      </c>
      <c r="H15" s="4">
        <f>IF(G15=0,"E",G15)</f>
        <v/>
      </c>
      <c r="I15" s="4">
        <f>SMALL(V15:Y15,1)+SMALL(V15:Y15,2)</f>
        <v/>
      </c>
      <c r="J15" s="4">
        <f>I15-(B15*2)</f>
        <v/>
      </c>
      <c r="K15" s="4">
        <f>IF(J15=0,"E",J15)</f>
        <v/>
      </c>
      <c r="N15">
        <f>Scorecard!E15</f>
        <v/>
      </c>
      <c r="O15">
        <f>Scorecard!F15</f>
        <v/>
      </c>
      <c r="P15">
        <f>Scorecard!G15</f>
        <v/>
      </c>
      <c r="Q15">
        <f>Scorecard!H15</f>
        <v/>
      </c>
      <c r="R15">
        <f>Scorecard!I15</f>
        <v/>
      </c>
      <c r="S15">
        <f>Scorecard!J15</f>
        <v/>
      </c>
      <c r="T15">
        <f>Scorecard!K15</f>
        <v/>
      </c>
      <c r="U15">
        <f>Scorecard!L15</f>
        <v/>
      </c>
      <c r="V15">
        <f>Scorecard!M15</f>
        <v/>
      </c>
      <c r="W15">
        <f>Scorecard!N15</f>
        <v/>
      </c>
      <c r="X15">
        <f>Scorecard!O15</f>
        <v/>
      </c>
      <c r="Y15">
        <f>Scorecard!P15</f>
        <v/>
      </c>
    </row>
    <row r="16">
      <c r="A16" s="4" t="n">
        <v>13</v>
      </c>
      <c r="B16" s="4" t="n">
        <v>4</v>
      </c>
      <c r="C16" s="4">
        <f>SMALL(N16:Q16,1)+SMALL(N16:Q16,2)</f>
        <v/>
      </c>
      <c r="D16" s="4">
        <f>C16-(B16*2)</f>
        <v/>
      </c>
      <c r="E16" s="4">
        <f>IF(D16=0,"E",D16)</f>
        <v/>
      </c>
      <c r="F16" s="4">
        <f>SMALL(R16:U16,1)+SMALL(R16:U16,2)</f>
        <v/>
      </c>
      <c r="G16" s="4">
        <f>F16-(B16*2)</f>
        <v/>
      </c>
      <c r="H16" s="4">
        <f>IF(G16=0,"E",G16)</f>
        <v/>
      </c>
      <c r="I16" s="4">
        <f>SMALL(V16:Y16,1)+SMALL(V16:Y16,2)</f>
        <v/>
      </c>
      <c r="J16" s="4">
        <f>I16-(B16*2)</f>
        <v/>
      </c>
      <c r="K16" s="4">
        <f>IF(J16=0,"E",J16)</f>
        <v/>
      </c>
      <c r="N16">
        <f>Scorecard!E16</f>
        <v/>
      </c>
      <c r="O16">
        <f>Scorecard!F16</f>
        <v/>
      </c>
      <c r="P16">
        <f>Scorecard!G16</f>
        <v/>
      </c>
      <c r="Q16">
        <f>Scorecard!H16</f>
        <v/>
      </c>
      <c r="R16">
        <f>Scorecard!I16</f>
        <v/>
      </c>
      <c r="S16">
        <f>Scorecard!J16</f>
        <v/>
      </c>
      <c r="T16">
        <f>Scorecard!K16</f>
        <v/>
      </c>
      <c r="U16">
        <f>Scorecard!L16</f>
        <v/>
      </c>
      <c r="V16">
        <f>Scorecard!M16</f>
        <v/>
      </c>
      <c r="W16">
        <f>Scorecard!N16</f>
        <v/>
      </c>
      <c r="X16">
        <f>Scorecard!O16</f>
        <v/>
      </c>
      <c r="Y16">
        <f>Scorecard!P16</f>
        <v/>
      </c>
    </row>
    <row r="17">
      <c r="A17" s="4" t="n">
        <v>14</v>
      </c>
      <c r="B17" s="4" t="n">
        <v>4</v>
      </c>
      <c r="C17" s="4">
        <f>SMALL(N17:Q17,1)+SMALL(N17:Q17,2)</f>
        <v/>
      </c>
      <c r="D17" s="4">
        <f>C17-(B17*2)</f>
        <v/>
      </c>
      <c r="E17" s="4">
        <f>IF(D17=0,"E",D17)</f>
        <v/>
      </c>
      <c r="F17" s="4">
        <f>SMALL(R17:U17,1)+SMALL(R17:U17,2)</f>
        <v/>
      </c>
      <c r="G17" s="4">
        <f>F17-(B17*2)</f>
        <v/>
      </c>
      <c r="H17" s="4">
        <f>IF(G17=0,"E",G17)</f>
        <v/>
      </c>
      <c r="I17" s="4">
        <f>SMALL(V17:Y17,1)+SMALL(V17:Y17,2)</f>
        <v/>
      </c>
      <c r="J17" s="4">
        <f>I17-(B17*2)</f>
        <v/>
      </c>
      <c r="K17" s="4">
        <f>IF(J17=0,"E",J17)</f>
        <v/>
      </c>
      <c r="N17">
        <f>Scorecard!E17</f>
        <v/>
      </c>
      <c r="O17">
        <f>Scorecard!F17</f>
        <v/>
      </c>
      <c r="P17">
        <f>Scorecard!G17</f>
        <v/>
      </c>
      <c r="Q17">
        <f>Scorecard!H17</f>
        <v/>
      </c>
      <c r="R17">
        <f>Scorecard!I17</f>
        <v/>
      </c>
      <c r="S17">
        <f>Scorecard!J17</f>
        <v/>
      </c>
      <c r="T17">
        <f>Scorecard!K17</f>
        <v/>
      </c>
      <c r="U17">
        <f>Scorecard!L17</f>
        <v/>
      </c>
      <c r="V17">
        <f>Scorecard!M17</f>
        <v/>
      </c>
      <c r="W17">
        <f>Scorecard!N17</f>
        <v/>
      </c>
      <c r="X17">
        <f>Scorecard!O17</f>
        <v/>
      </c>
      <c r="Y17">
        <f>Scorecard!P17</f>
        <v/>
      </c>
    </row>
    <row r="18">
      <c r="A18" s="4" t="n">
        <v>15</v>
      </c>
      <c r="B18" s="4" t="n">
        <v>3</v>
      </c>
      <c r="C18" s="4">
        <f>SMALL(N18:Q18,1)+SMALL(N18:Q18,2)</f>
        <v/>
      </c>
      <c r="D18" s="4">
        <f>C18-(B18*2)</f>
        <v/>
      </c>
      <c r="E18" s="4">
        <f>IF(D18=0,"E",D18)</f>
        <v/>
      </c>
      <c r="F18" s="4">
        <f>SMALL(R18:U18,1)+SMALL(R18:U18,2)</f>
        <v/>
      </c>
      <c r="G18" s="4">
        <f>F18-(B18*2)</f>
        <v/>
      </c>
      <c r="H18" s="4">
        <f>IF(G18=0,"E",G18)</f>
        <v/>
      </c>
      <c r="I18" s="4">
        <f>SMALL(V18:Y18,1)+SMALL(V18:Y18,2)</f>
        <v/>
      </c>
      <c r="J18" s="4">
        <f>I18-(B18*2)</f>
        <v/>
      </c>
      <c r="K18" s="4">
        <f>IF(J18=0,"E",J18)</f>
        <v/>
      </c>
      <c r="N18">
        <f>Scorecard!E18</f>
        <v/>
      </c>
      <c r="O18">
        <f>Scorecard!F18</f>
        <v/>
      </c>
      <c r="P18">
        <f>Scorecard!G18</f>
        <v/>
      </c>
      <c r="Q18">
        <f>Scorecard!H18</f>
        <v/>
      </c>
      <c r="R18">
        <f>Scorecard!I18</f>
        <v/>
      </c>
      <c r="S18">
        <f>Scorecard!J18</f>
        <v/>
      </c>
      <c r="T18">
        <f>Scorecard!K18</f>
        <v/>
      </c>
      <c r="U18">
        <f>Scorecard!L18</f>
        <v/>
      </c>
      <c r="V18">
        <f>Scorecard!M18</f>
        <v/>
      </c>
      <c r="W18">
        <f>Scorecard!N18</f>
        <v/>
      </c>
      <c r="X18">
        <f>Scorecard!O18</f>
        <v/>
      </c>
      <c r="Y18">
        <f>Scorecard!P18</f>
        <v/>
      </c>
    </row>
    <row r="19">
      <c r="A19" s="4" t="n">
        <v>16</v>
      </c>
      <c r="B19" s="4" t="n">
        <v>4</v>
      </c>
      <c r="C19" s="4">
        <f>SMALL(N19:Q19,1)+SMALL(N19:Q19,2)</f>
        <v/>
      </c>
      <c r="D19" s="4">
        <f>C19-(B19*2)</f>
        <v/>
      </c>
      <c r="E19" s="4">
        <f>IF(D19=0,"E",D19)</f>
        <v/>
      </c>
      <c r="F19" s="4">
        <f>SMALL(R19:U19,1)+SMALL(R19:U19,2)</f>
        <v/>
      </c>
      <c r="G19" s="4">
        <f>F19-(B19*2)</f>
        <v/>
      </c>
      <c r="H19" s="4">
        <f>IF(G19=0,"E",G19)</f>
        <v/>
      </c>
      <c r="I19" s="4">
        <f>SMALL(V19:Y19,1)+SMALL(V19:Y19,2)</f>
        <v/>
      </c>
      <c r="J19" s="4">
        <f>I19-(B19*2)</f>
        <v/>
      </c>
      <c r="K19" s="4">
        <f>IF(J19=0,"E",J19)</f>
        <v/>
      </c>
      <c r="N19">
        <f>Scorecard!E19</f>
        <v/>
      </c>
      <c r="O19">
        <f>Scorecard!F19</f>
        <v/>
      </c>
      <c r="P19">
        <f>Scorecard!G19</f>
        <v/>
      </c>
      <c r="Q19">
        <f>Scorecard!H19</f>
        <v/>
      </c>
      <c r="R19">
        <f>Scorecard!I19</f>
        <v/>
      </c>
      <c r="S19">
        <f>Scorecard!J19</f>
        <v/>
      </c>
      <c r="T19">
        <f>Scorecard!K19</f>
        <v/>
      </c>
      <c r="U19">
        <f>Scorecard!L19</f>
        <v/>
      </c>
      <c r="V19">
        <f>Scorecard!M19</f>
        <v/>
      </c>
      <c r="W19">
        <f>Scorecard!N19</f>
        <v/>
      </c>
      <c r="X19">
        <f>Scorecard!O19</f>
        <v/>
      </c>
      <c r="Y19">
        <f>Scorecard!P19</f>
        <v/>
      </c>
    </row>
    <row r="20">
      <c r="A20" s="4" t="n">
        <v>17</v>
      </c>
      <c r="B20" s="4" t="n">
        <v>5</v>
      </c>
      <c r="C20" s="4">
        <f>SMALL(N20:Q20,1)+SMALL(N20:Q20,2)</f>
        <v/>
      </c>
      <c r="D20" s="4">
        <f>C20-(B20*2)</f>
        <v/>
      </c>
      <c r="E20" s="4">
        <f>IF(D20=0,"E",D20)</f>
        <v/>
      </c>
      <c r="F20" s="4">
        <f>SMALL(R20:U20,1)+SMALL(R20:U20,2)</f>
        <v/>
      </c>
      <c r="G20" s="4">
        <f>F20-(B20*2)</f>
        <v/>
      </c>
      <c r="H20" s="4">
        <f>IF(G20=0,"E",G20)</f>
        <v/>
      </c>
      <c r="I20" s="4">
        <f>SMALL(V20:Y20,1)+SMALL(V20:Y20,2)</f>
        <v/>
      </c>
      <c r="J20" s="4">
        <f>I20-(B20*2)</f>
        <v/>
      </c>
      <c r="K20" s="4">
        <f>IF(J20=0,"E",J20)</f>
        <v/>
      </c>
      <c r="N20">
        <f>Scorecard!E20</f>
        <v/>
      </c>
      <c r="O20">
        <f>Scorecard!F20</f>
        <v/>
      </c>
      <c r="P20">
        <f>Scorecard!G20</f>
        <v/>
      </c>
      <c r="Q20">
        <f>Scorecard!H20</f>
        <v/>
      </c>
      <c r="R20">
        <f>Scorecard!I20</f>
        <v/>
      </c>
      <c r="S20">
        <f>Scorecard!J20</f>
        <v/>
      </c>
      <c r="T20">
        <f>Scorecard!K20</f>
        <v/>
      </c>
      <c r="U20">
        <f>Scorecard!L20</f>
        <v/>
      </c>
      <c r="V20">
        <f>Scorecard!M20</f>
        <v/>
      </c>
      <c r="W20">
        <f>Scorecard!N20</f>
        <v/>
      </c>
      <c r="X20">
        <f>Scorecard!O20</f>
        <v/>
      </c>
      <c r="Y20">
        <f>Scorecard!P20</f>
        <v/>
      </c>
    </row>
    <row r="21">
      <c r="A21" s="4" t="n">
        <v>18</v>
      </c>
      <c r="B21" s="4" t="n">
        <v>4</v>
      </c>
      <c r="C21" s="4">
        <f>SMALL(N21:Q21,1)+SMALL(N21:Q21,2)</f>
        <v/>
      </c>
      <c r="D21" s="4">
        <f>C21-(B21*2)</f>
        <v/>
      </c>
      <c r="E21" s="4">
        <f>IF(D21=0,"E",D21)</f>
        <v/>
      </c>
      <c r="F21" s="4">
        <f>SMALL(R21:U21,1)+SMALL(R21:U21,2)</f>
        <v/>
      </c>
      <c r="G21" s="4">
        <f>F21-(B21*2)</f>
        <v/>
      </c>
      <c r="H21" s="4">
        <f>IF(G21=0,"E",G21)</f>
        <v/>
      </c>
      <c r="I21" s="4">
        <f>SMALL(V21:Y21,1)+SMALL(V21:Y21,2)</f>
        <v/>
      </c>
      <c r="J21" s="4">
        <f>I21-(B21*2)</f>
        <v/>
      </c>
      <c r="K21" s="4">
        <f>IF(J21=0,"E",J21)</f>
        <v/>
      </c>
      <c r="N21">
        <f>Scorecard!E21</f>
        <v/>
      </c>
      <c r="O21">
        <f>Scorecard!F21</f>
        <v/>
      </c>
      <c r="P21">
        <f>Scorecard!G21</f>
        <v/>
      </c>
      <c r="Q21">
        <f>Scorecard!H21</f>
        <v/>
      </c>
      <c r="R21">
        <f>Scorecard!I21</f>
        <v/>
      </c>
      <c r="S21">
        <f>Scorecard!J21</f>
        <v/>
      </c>
      <c r="T21">
        <f>Scorecard!K21</f>
        <v/>
      </c>
      <c r="U21">
        <f>Scorecard!L21</f>
        <v/>
      </c>
      <c r="V21">
        <f>Scorecard!M21</f>
        <v/>
      </c>
      <c r="W21">
        <f>Scorecard!N21</f>
        <v/>
      </c>
      <c r="X21">
        <f>Scorecard!O21</f>
        <v/>
      </c>
      <c r="Y21">
        <f>Scorecard!P21</f>
        <v/>
      </c>
    </row>
    <row r="22">
      <c r="C22" s="9" t="inlineStr">
        <is>
          <t>Team A</t>
        </is>
      </c>
      <c r="F22" s="9" t="inlineStr">
        <is>
          <t>Team B</t>
        </is>
      </c>
      <c r="I22" s="9" t="inlineStr">
        <is>
          <t>Team C</t>
        </is>
      </c>
    </row>
    <row r="23">
      <c r="A23" s="10" t="inlineStr">
        <is>
          <t>Front 9 Total To Par</t>
        </is>
      </c>
      <c r="B23" s="11" t="n"/>
      <c r="C23" s="11" t="n"/>
      <c r="D23" s="4">
        <f>SUM(D4:D12)</f>
        <v/>
      </c>
      <c r="E23" s="4">
        <f>IF(D23=0,"E",D23)</f>
        <v/>
      </c>
      <c r="F23" s="11" t="n"/>
      <c r="G23" s="4">
        <f>SUM(G4:G12)</f>
        <v/>
      </c>
      <c r="H23" s="4">
        <f>IF(G23=0,"E",G23)</f>
        <v/>
      </c>
      <c r="I23" s="11" t="n"/>
      <c r="J23" s="4">
        <f>SUM(J4:J12)</f>
        <v/>
      </c>
      <c r="K23" s="4">
        <f>IF(J23=0,"E",J23)</f>
        <v/>
      </c>
    </row>
    <row r="24">
      <c r="A24" s="10" t="inlineStr">
        <is>
          <t>Back 9 Total To Par</t>
        </is>
      </c>
      <c r="B24" s="11" t="n"/>
      <c r="C24" s="11" t="n"/>
      <c r="D24" s="4">
        <f>SUM(D13:D21)</f>
        <v/>
      </c>
      <c r="E24" s="4">
        <f>IF(D24=0,"E",D24)</f>
        <v/>
      </c>
      <c r="F24" s="11" t="n"/>
      <c r="G24" s="4">
        <f>SUM(G13:G21)</f>
        <v/>
      </c>
      <c r="H24" s="4">
        <f>IF(G24=0,"E",G24)</f>
        <v/>
      </c>
      <c r="I24" s="11" t="n"/>
      <c r="J24" s="4">
        <f>SUM(J13:J21)</f>
        <v/>
      </c>
      <c r="K24" s="4">
        <f>IF(J24=0,"E",J24)</f>
        <v/>
      </c>
    </row>
    <row r="25">
      <c r="A25" s="10" t="inlineStr">
        <is>
          <t>Total 18 To Par</t>
        </is>
      </c>
      <c r="B25" s="11" t="n"/>
      <c r="C25" s="11" t="n"/>
      <c r="D25" s="4">
        <f>D23+D24</f>
        <v/>
      </c>
      <c r="E25" s="4">
        <f>IF(D25=0,"E",D25)</f>
        <v/>
      </c>
      <c r="F25" s="11" t="n"/>
      <c r="G25" s="4">
        <f>G23+G24</f>
        <v/>
      </c>
      <c r="H25" s="4">
        <f>IF(G25=0,"E",G25)</f>
        <v/>
      </c>
      <c r="I25" s="11" t="n"/>
      <c r="J25" s="4">
        <f>J23+J24</f>
        <v/>
      </c>
      <c r="K25" s="4">
        <f>IF(J25=0,"E",J25)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8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4" customWidth="1" min="3" max="3"/>
    <col width="14" customWidth="1" min="4" max="4"/>
    <col width="8" customWidth="1" min="5" max="5"/>
    <col width="7" customWidth="1" min="6" max="6"/>
    <col width="20" customWidth="1" min="7" max="7"/>
    <col width="10" customWidth="1" min="8" max="8"/>
    <col width="12" customWidth="1" min="9" max="9"/>
    <col width="12" customWidth="1" min="10" max="10"/>
    <col width="12" customWidth="1" min="11" max="11"/>
    <col width="13" customWidth="1" min="12" max="12"/>
    <col width="13" customWidth="1" min="13" max="13"/>
    <col width="13" customWidth="1" min="14" max="14"/>
  </cols>
  <sheetData>
    <row r="1">
      <c r="A1" s="5" t="inlineStr">
        <is>
          <t>Nassau — 3 Teams vs Field</t>
        </is>
      </c>
    </row>
    <row r="3">
      <c r="A3" s="2" t="inlineStr">
        <is>
          <t>Segment</t>
        </is>
      </c>
      <c r="B3" s="2" t="inlineStr">
        <is>
          <t>Team A To Par</t>
        </is>
      </c>
      <c r="C3" s="2" t="inlineStr">
        <is>
          <t>Team B To Par</t>
        </is>
      </c>
      <c r="D3" s="2" t="inlineStr">
        <is>
          <t>Team C To Par</t>
        </is>
      </c>
      <c r="E3" s="2" t="inlineStr">
        <is>
          <t>Low</t>
        </is>
      </c>
      <c r="F3" s="2" t="inlineStr">
        <is>
          <t>Tie Ct</t>
        </is>
      </c>
      <c r="G3" s="2" t="inlineStr">
        <is>
          <t>Winner(s)</t>
        </is>
      </c>
      <c r="H3" s="2" t="inlineStr">
        <is>
          <t>Pot</t>
        </is>
      </c>
      <c r="I3" s="2" t="inlineStr">
        <is>
          <t>Team A Net</t>
        </is>
      </c>
      <c r="J3" s="2" t="inlineStr">
        <is>
          <t>Team B Net</t>
        </is>
      </c>
      <c r="K3" s="2" t="inlineStr">
        <is>
          <t>Team C Net</t>
        </is>
      </c>
    </row>
    <row r="4">
      <c r="A4" s="11" t="inlineStr">
        <is>
          <t>Front 9</t>
        </is>
      </c>
      <c r="B4" s="4">
        <f>'Team Best 2'!D23</f>
        <v/>
      </c>
      <c r="C4" s="4">
        <f>'Team Best 2'!G23</f>
        <v/>
      </c>
      <c r="D4" s="4">
        <f>'Team Best 2'!J23</f>
        <v/>
      </c>
      <c r="E4" s="4">
        <f>MIN(B4:D4)</f>
        <v/>
      </c>
      <c r="F4" s="4">
        <f>COUNTIF(B4:D4,E4)</f>
        <v/>
      </c>
      <c r="G4" s="4">
        <f>IF(F4=3,"Push",IF(F4=1,IF(L4=1,"Team A",IF(M4=1,"Team B","Team C")),IF(AND(L4=1,M4=1),"Team A &amp; Team B",IF(AND(L4=1,N4=1),"Team A &amp; Team C","Team B &amp; Team C"))))</f>
        <v/>
      </c>
      <c r="H4" s="12">
        <f>Setup!B5*(Setup!B3/3)</f>
        <v/>
      </c>
      <c r="I4" s="12">
        <f>IF(F4=3,0,IF(L4=1,(H4/F4)-(Setup!B5/Setup!B6)*(Setup!B3/3),-(Setup!B5/Setup!B6)*(Setup!B3/3)))</f>
        <v/>
      </c>
      <c r="J4" s="12">
        <f>IF(F4=3,0,IF(M4=1,(H4/F4)-(Setup!B5/Setup!B6)*(Setup!B3/3),-(Setup!B5/Setup!B6)*(Setup!B3/3)))</f>
        <v/>
      </c>
      <c r="K4" s="12">
        <f>IF(F4=3,0,IF(N4=1,(H4/F4)-(Setup!B5/Setup!B6)*(Setup!B3/3),-(Setup!B5/Setup!B6)*(Setup!B3/3)))</f>
        <v/>
      </c>
      <c r="L4">
        <f>IF(B4=E4,1,0)</f>
        <v/>
      </c>
      <c r="M4">
        <f>IF(C4=E4,1,0)</f>
        <v/>
      </c>
      <c r="N4">
        <f>IF(D4=E4,1,0)</f>
        <v/>
      </c>
    </row>
    <row r="5">
      <c r="A5" s="11" t="inlineStr">
        <is>
          <t>Back 9</t>
        </is>
      </c>
      <c r="B5" s="4">
        <f>'Team Best 2'!D24</f>
        <v/>
      </c>
      <c r="C5" s="4">
        <f>'Team Best 2'!G24</f>
        <v/>
      </c>
      <c r="D5" s="4">
        <f>'Team Best 2'!J24</f>
        <v/>
      </c>
      <c r="E5" s="4">
        <f>MIN(B5:D5)</f>
        <v/>
      </c>
      <c r="F5" s="4">
        <f>COUNTIF(B5:D5,E5)</f>
        <v/>
      </c>
      <c r="G5" s="4">
        <f>IF(F5=3,"Push",IF(F5=1,IF(L5=1,"Team A",IF(M5=1,"Team B","Team C")),IF(AND(L5=1,M5=1),"Team A &amp; Team B",IF(AND(L5=1,N5=1),"Team A &amp; Team C","Team B &amp; Team C"))))</f>
        <v/>
      </c>
      <c r="H5" s="12">
        <f>Setup!B5*(Setup!B3/3)</f>
        <v/>
      </c>
      <c r="I5" s="12">
        <f>IF(F5=3,0,IF(L5=1,(H5/F5)-(Setup!B5/Setup!B6)*(Setup!B3/3),-(Setup!B5/Setup!B6)*(Setup!B3/3)))</f>
        <v/>
      </c>
      <c r="J5" s="12">
        <f>IF(F5=3,0,IF(M5=1,(H5/F5)-(Setup!B5/Setup!B6)*(Setup!B3/3),-(Setup!B5/Setup!B6)*(Setup!B3/3)))</f>
        <v/>
      </c>
      <c r="K5" s="12">
        <f>IF(F5=3,0,IF(N5=1,(H5/F5)-(Setup!B5/Setup!B6)*(Setup!B3/3),-(Setup!B5/Setup!B6)*(Setup!B3/3)))</f>
        <v/>
      </c>
      <c r="L5">
        <f>IF(B5=E5,1,0)</f>
        <v/>
      </c>
      <c r="M5">
        <f>IF(C5=E5,1,0)</f>
        <v/>
      </c>
      <c r="N5">
        <f>IF(D5=E5,1,0)</f>
        <v/>
      </c>
    </row>
    <row r="6">
      <c r="A6" s="11" t="inlineStr">
        <is>
          <t>Total 18</t>
        </is>
      </c>
      <c r="B6" s="4">
        <f>'Team Best 2'!D25</f>
        <v/>
      </c>
      <c r="C6" s="4">
        <f>'Team Best 2'!G25</f>
        <v/>
      </c>
      <c r="D6" s="4">
        <f>'Team Best 2'!J25</f>
        <v/>
      </c>
      <c r="E6" s="4">
        <f>MIN(B6:D6)</f>
        <v/>
      </c>
      <c r="F6" s="4">
        <f>COUNTIF(B6:D6,E6)</f>
        <v/>
      </c>
      <c r="G6" s="4">
        <f>IF(F6=3,"Push",IF(F6=1,IF(L6=1,"Team A",IF(M6=1,"Team B","Team C")),IF(AND(L6=1,M6=1),"Team A &amp; Team B",IF(AND(L6=1,N6=1),"Team A &amp; Team C","Team B &amp; Team C"))))</f>
        <v/>
      </c>
      <c r="H6" s="12">
        <f>Setup!B5*(Setup!B3/3)</f>
        <v/>
      </c>
      <c r="I6" s="12">
        <f>IF(F6=3,0,IF(L6=1,(H6/F6)-(Setup!B5/Setup!B6)*(Setup!B3/3),-(Setup!B5/Setup!B6)*(Setup!B3/3)))</f>
        <v/>
      </c>
      <c r="J6" s="12">
        <f>IF(F6=3,0,IF(M6=1,(H6/F6)-(Setup!B5/Setup!B6)*(Setup!B3/3),-(Setup!B5/Setup!B6)*(Setup!B3/3)))</f>
        <v/>
      </c>
      <c r="K6" s="12">
        <f>IF(F6=3,0,IF(N6=1,(H6/F6)-(Setup!B5/Setup!B6)*(Setup!B3/3),-(Setup!B5/Setup!B6)*(Setup!B3/3)))</f>
        <v/>
      </c>
      <c r="L6">
        <f>IF(B6=E6,1,0)</f>
        <v/>
      </c>
      <c r="M6">
        <f>IF(C6=E6,1,0)</f>
        <v/>
      </c>
      <c r="N6">
        <f>IF(D6=E6,1,0)</f>
        <v/>
      </c>
    </row>
    <row r="8">
      <c r="A8" s="10" t="inlineStr">
        <is>
          <t>Net Total</t>
        </is>
      </c>
      <c r="B8" s="11" t="n"/>
      <c r="C8" s="11" t="n"/>
      <c r="D8" s="11" t="n"/>
      <c r="E8" s="11" t="n"/>
      <c r="F8" s="11" t="n"/>
      <c r="G8" s="11" t="n"/>
      <c r="H8" s="11" t="n"/>
      <c r="I8" s="13">
        <f>SUM(I4:I6)</f>
        <v/>
      </c>
      <c r="J8" s="13">
        <f>SUM(J4:J6)</f>
        <v/>
      </c>
      <c r="K8" s="13">
        <f>SUM(K4:K6)</f>
        <v/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41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10" customWidth="1" min="2" max="2"/>
    <col width="12" customWidth="1" min="3" max="3"/>
    <col width="16" customWidth="1" min="4" max="4"/>
    <col width="18" customWidth="1" min="5" max="5"/>
    <col width="8" customWidth="1" min="6" max="6"/>
    <col width="13" customWidth="1" min="8" max="8"/>
  </cols>
  <sheetData>
    <row r="1">
      <c r="A1" s="5" t="inlineStr">
        <is>
          <t>Skins (Gross) — 12 Players</t>
        </is>
      </c>
    </row>
    <row r="3">
      <c r="A3" s="6" t="inlineStr">
        <is>
          <t>Buy-in per player</t>
        </is>
      </c>
      <c r="B3" s="14">
        <f>Setup!B4</f>
        <v/>
      </c>
    </row>
    <row r="4">
      <c r="A4" s="6" t="inlineStr">
        <is>
          <t>Players</t>
        </is>
      </c>
      <c r="B4">
        <f>Setup!B5</f>
        <v/>
      </c>
    </row>
    <row r="5">
      <c r="A5" s="6" t="inlineStr">
        <is>
          <t>Pot</t>
        </is>
      </c>
      <c r="B5" s="14">
        <f>B3*B4</f>
        <v/>
      </c>
    </row>
    <row r="6">
      <c r="A6" s="6" t="inlineStr">
        <is>
          <t>Total Skins</t>
        </is>
      </c>
      <c r="B6">
        <f>SUM(F10:F27)</f>
        <v/>
      </c>
    </row>
    <row r="7">
      <c r="A7" s="6" t="inlineStr">
        <is>
          <t>Value per Skin</t>
        </is>
      </c>
      <c r="B7" s="15">
        <f>IF(B6=0,0,B5/B6)</f>
        <v/>
      </c>
    </row>
    <row r="9">
      <c r="A9" s="2" t="inlineStr">
        <is>
          <t>Hole</t>
        </is>
      </c>
      <c r="B9" s="2" t="inlineStr">
        <is>
          <t>Par</t>
        </is>
      </c>
      <c r="C9" s="2" t="inlineStr">
        <is>
          <t>Low Score</t>
        </is>
      </c>
      <c r="D9" s="2" t="inlineStr">
        <is>
          <t>Low Count</t>
        </is>
      </c>
      <c r="E9" s="2" t="inlineStr">
        <is>
          <t>Winner</t>
        </is>
      </c>
      <c r="F9" s="2" t="inlineStr">
        <is>
          <t>Skin?</t>
        </is>
      </c>
      <c r="H9" s="7" t="inlineStr">
        <is>
          <t>Names</t>
        </is>
      </c>
    </row>
    <row r="10">
      <c r="A10" s="4" t="n">
        <v>1</v>
      </c>
      <c r="B10" s="4" t="n">
        <v>4</v>
      </c>
      <c r="C10" s="4">
        <f>MIN(Scorecard!E4:P4)</f>
        <v/>
      </c>
      <c r="D10" s="4">
        <f>COUNTIF(Scorecard!E4:P4,C10)</f>
        <v/>
      </c>
      <c r="E10" s="4">
        <f>IF(D10=1,INDEX(H10:H21,MATCH(C10,Scorecard!E4:P4,0)),"")</f>
        <v/>
      </c>
      <c r="F10" s="4">
        <f>IF(D10=1,1,0)</f>
        <v/>
      </c>
      <c r="H10" t="inlineStr">
        <is>
          <t>Player A1</t>
        </is>
      </c>
    </row>
    <row r="11">
      <c r="A11" s="4" t="n">
        <v>2</v>
      </c>
      <c r="B11" s="4" t="n">
        <v>4</v>
      </c>
      <c r="C11" s="4">
        <f>MIN(Scorecard!E5:P5)</f>
        <v/>
      </c>
      <c r="D11" s="4">
        <f>COUNTIF(Scorecard!E5:P5,C11)</f>
        <v/>
      </c>
      <c r="E11" s="4">
        <f>IF(D11=1,INDEX(H10:H21,MATCH(C11,Scorecard!E5:P5,0)),"")</f>
        <v/>
      </c>
      <c r="F11" s="4">
        <f>IF(D11=1,1,0)</f>
        <v/>
      </c>
      <c r="H11" t="inlineStr">
        <is>
          <t>Player A2</t>
        </is>
      </c>
    </row>
    <row r="12">
      <c r="A12" s="4" t="n">
        <v>3</v>
      </c>
      <c r="B12" s="4" t="n">
        <v>3</v>
      </c>
      <c r="C12" s="4">
        <f>MIN(Scorecard!E6:P6)</f>
        <v/>
      </c>
      <c r="D12" s="4">
        <f>COUNTIF(Scorecard!E6:P6,C12)</f>
        <v/>
      </c>
      <c r="E12" s="4">
        <f>IF(D12=1,INDEX(H10:H21,MATCH(C12,Scorecard!E6:P6,0)),"")</f>
        <v/>
      </c>
      <c r="F12" s="4">
        <f>IF(D12=1,1,0)</f>
        <v/>
      </c>
      <c r="H12" t="inlineStr">
        <is>
          <t>Player A3</t>
        </is>
      </c>
    </row>
    <row r="13">
      <c r="A13" s="4" t="n">
        <v>4</v>
      </c>
      <c r="B13" s="4" t="n">
        <v>5</v>
      </c>
      <c r="C13" s="4">
        <f>MIN(Scorecard!E7:P7)</f>
        <v/>
      </c>
      <c r="D13" s="4">
        <f>COUNTIF(Scorecard!E7:P7,C13)</f>
        <v/>
      </c>
      <c r="E13" s="4">
        <f>IF(D13=1,INDEX(H10:H21,MATCH(C13,Scorecard!E7:P7,0)),"")</f>
        <v/>
      </c>
      <c r="F13" s="4">
        <f>IF(D13=1,1,0)</f>
        <v/>
      </c>
      <c r="H13" t="inlineStr">
        <is>
          <t>Player A4</t>
        </is>
      </c>
    </row>
    <row r="14">
      <c r="A14" s="4" t="n">
        <v>5</v>
      </c>
      <c r="B14" s="4" t="n">
        <v>4</v>
      </c>
      <c r="C14" s="4">
        <f>MIN(Scorecard!E8:P8)</f>
        <v/>
      </c>
      <c r="D14" s="4">
        <f>COUNTIF(Scorecard!E8:P8,C14)</f>
        <v/>
      </c>
      <c r="E14" s="4">
        <f>IF(D14=1,INDEX(H10:H21,MATCH(C14,Scorecard!E8:P8,0)),"")</f>
        <v/>
      </c>
      <c r="F14" s="4">
        <f>IF(D14=1,1,0)</f>
        <v/>
      </c>
      <c r="H14" t="inlineStr">
        <is>
          <t>Player B1</t>
        </is>
      </c>
    </row>
    <row r="15">
      <c r="A15" s="4" t="n">
        <v>6</v>
      </c>
      <c r="B15" s="4" t="n">
        <v>4</v>
      </c>
      <c r="C15" s="4">
        <f>MIN(Scorecard!E9:P9)</f>
        <v/>
      </c>
      <c r="D15" s="4">
        <f>COUNTIF(Scorecard!E9:P9,C15)</f>
        <v/>
      </c>
      <c r="E15" s="4">
        <f>IF(D15=1,INDEX(H10:H21,MATCH(C15,Scorecard!E9:P9,0)),"")</f>
        <v/>
      </c>
      <c r="F15" s="4">
        <f>IF(D15=1,1,0)</f>
        <v/>
      </c>
      <c r="H15" t="inlineStr">
        <is>
          <t>Player B2</t>
        </is>
      </c>
    </row>
    <row r="16">
      <c r="A16" s="4" t="n">
        <v>7</v>
      </c>
      <c r="B16" s="4" t="n">
        <v>3</v>
      </c>
      <c r="C16" s="4">
        <f>MIN(Scorecard!E10:P10)</f>
        <v/>
      </c>
      <c r="D16" s="4">
        <f>COUNTIF(Scorecard!E10:P10,C16)</f>
        <v/>
      </c>
      <c r="E16" s="4">
        <f>IF(D16=1,INDEX(H10:H21,MATCH(C16,Scorecard!E10:P10,0)),"")</f>
        <v/>
      </c>
      <c r="F16" s="4">
        <f>IF(D16=1,1,0)</f>
        <v/>
      </c>
      <c r="H16" t="inlineStr">
        <is>
          <t>Player B3</t>
        </is>
      </c>
    </row>
    <row r="17">
      <c r="A17" s="4" t="n">
        <v>8</v>
      </c>
      <c r="B17" s="4" t="n">
        <v>4</v>
      </c>
      <c r="C17" s="4">
        <f>MIN(Scorecard!E11:P11)</f>
        <v/>
      </c>
      <c r="D17" s="4">
        <f>COUNTIF(Scorecard!E11:P11,C17)</f>
        <v/>
      </c>
      <c r="E17" s="4">
        <f>IF(D17=1,INDEX(H10:H21,MATCH(C17,Scorecard!E11:P11,0)),"")</f>
        <v/>
      </c>
      <c r="F17" s="4">
        <f>IF(D17=1,1,0)</f>
        <v/>
      </c>
      <c r="H17" t="inlineStr">
        <is>
          <t>Player B4</t>
        </is>
      </c>
    </row>
    <row r="18">
      <c r="A18" s="4" t="n">
        <v>9</v>
      </c>
      <c r="B18" s="4" t="n">
        <v>5</v>
      </c>
      <c r="C18" s="4">
        <f>MIN(Scorecard!E12:P12)</f>
        <v/>
      </c>
      <c r="D18" s="4">
        <f>COUNTIF(Scorecard!E12:P12,C18)</f>
        <v/>
      </c>
      <c r="E18" s="4">
        <f>IF(D18=1,INDEX(H10:H21,MATCH(C18,Scorecard!E12:P12,0)),"")</f>
        <v/>
      </c>
      <c r="F18" s="4">
        <f>IF(D18=1,1,0)</f>
        <v/>
      </c>
      <c r="H18" t="inlineStr">
        <is>
          <t>Player C1</t>
        </is>
      </c>
    </row>
    <row r="19">
      <c r="A19" s="4" t="n">
        <v>10</v>
      </c>
      <c r="B19" s="4" t="n">
        <v>4</v>
      </c>
      <c r="C19" s="4">
        <f>MIN(Scorecard!E13:P13)</f>
        <v/>
      </c>
      <c r="D19" s="4">
        <f>COUNTIF(Scorecard!E13:P13,C19)</f>
        <v/>
      </c>
      <c r="E19" s="4">
        <f>IF(D19=1,INDEX(H10:H21,MATCH(C19,Scorecard!E13:P13,0)),"")</f>
        <v/>
      </c>
      <c r="F19" s="4">
        <f>IF(D19=1,1,0)</f>
        <v/>
      </c>
      <c r="H19" t="inlineStr">
        <is>
          <t>Player C2</t>
        </is>
      </c>
    </row>
    <row r="20">
      <c r="A20" s="4" t="n">
        <v>11</v>
      </c>
      <c r="B20" s="4" t="n">
        <v>5</v>
      </c>
      <c r="C20" s="4">
        <f>MIN(Scorecard!E14:P14)</f>
        <v/>
      </c>
      <c r="D20" s="4">
        <f>COUNTIF(Scorecard!E14:P14,C20)</f>
        <v/>
      </c>
      <c r="E20" s="4">
        <f>IF(D20=1,INDEX(H10:H21,MATCH(C20,Scorecard!E14:P14,0)),"")</f>
        <v/>
      </c>
      <c r="F20" s="4">
        <f>IF(D20=1,1,0)</f>
        <v/>
      </c>
      <c r="H20" t="inlineStr">
        <is>
          <t>Player C3</t>
        </is>
      </c>
    </row>
    <row r="21">
      <c r="A21" s="4" t="n">
        <v>12</v>
      </c>
      <c r="B21" s="4" t="n">
        <v>3</v>
      </c>
      <c r="C21" s="4">
        <f>MIN(Scorecard!E15:P15)</f>
        <v/>
      </c>
      <c r="D21" s="4">
        <f>COUNTIF(Scorecard!E15:P15,C21)</f>
        <v/>
      </c>
      <c r="E21" s="4">
        <f>IF(D21=1,INDEX(H10:H21,MATCH(C21,Scorecard!E15:P15,0)),"")</f>
        <v/>
      </c>
      <c r="F21" s="4">
        <f>IF(D21=1,1,0)</f>
        <v/>
      </c>
      <c r="H21" t="inlineStr">
        <is>
          <t>Player C4</t>
        </is>
      </c>
    </row>
    <row r="22">
      <c r="A22" s="4" t="n">
        <v>13</v>
      </c>
      <c r="B22" s="4" t="n">
        <v>4</v>
      </c>
      <c r="C22" s="4">
        <f>MIN(Scorecard!E16:P16)</f>
        <v/>
      </c>
      <c r="D22" s="4">
        <f>COUNTIF(Scorecard!E16:P16,C22)</f>
        <v/>
      </c>
      <c r="E22" s="4">
        <f>IF(D22=1,INDEX(H10:H21,MATCH(C22,Scorecard!E16:P16,0)),"")</f>
        <v/>
      </c>
      <c r="F22" s="4">
        <f>IF(D22=1,1,0)</f>
        <v/>
      </c>
    </row>
    <row r="23">
      <c r="A23" s="4" t="n">
        <v>14</v>
      </c>
      <c r="B23" s="4" t="n">
        <v>4</v>
      </c>
      <c r="C23" s="4">
        <f>MIN(Scorecard!E17:P17)</f>
        <v/>
      </c>
      <c r="D23" s="4">
        <f>COUNTIF(Scorecard!E17:P17,C23)</f>
        <v/>
      </c>
      <c r="E23" s="4">
        <f>IF(D23=1,INDEX(H10:H21,MATCH(C23,Scorecard!E17:P17,0)),"")</f>
        <v/>
      </c>
      <c r="F23" s="4">
        <f>IF(D23=1,1,0)</f>
        <v/>
      </c>
    </row>
    <row r="24">
      <c r="A24" s="4" t="n">
        <v>15</v>
      </c>
      <c r="B24" s="4" t="n">
        <v>3</v>
      </c>
      <c r="C24" s="4">
        <f>MIN(Scorecard!E18:P18)</f>
        <v/>
      </c>
      <c r="D24" s="4">
        <f>COUNTIF(Scorecard!E18:P18,C24)</f>
        <v/>
      </c>
      <c r="E24" s="4">
        <f>IF(D24=1,INDEX(H10:H21,MATCH(C24,Scorecard!E18:P18,0)),"")</f>
        <v/>
      </c>
      <c r="F24" s="4">
        <f>IF(D24=1,1,0)</f>
        <v/>
      </c>
    </row>
    <row r="25">
      <c r="A25" s="4" t="n">
        <v>16</v>
      </c>
      <c r="B25" s="4" t="n">
        <v>4</v>
      </c>
      <c r="C25" s="4">
        <f>MIN(Scorecard!E19:P19)</f>
        <v/>
      </c>
      <c r="D25" s="4">
        <f>COUNTIF(Scorecard!E19:P19,C25)</f>
        <v/>
      </c>
      <c r="E25" s="4">
        <f>IF(D25=1,INDEX(H10:H21,MATCH(C25,Scorecard!E19:P19,0)),"")</f>
        <v/>
      </c>
      <c r="F25" s="4">
        <f>IF(D25=1,1,0)</f>
        <v/>
      </c>
    </row>
    <row r="26">
      <c r="A26" s="4" t="n">
        <v>17</v>
      </c>
      <c r="B26" s="4" t="n">
        <v>5</v>
      </c>
      <c r="C26" s="4">
        <f>MIN(Scorecard!E20:P20)</f>
        <v/>
      </c>
      <c r="D26" s="4">
        <f>COUNTIF(Scorecard!E20:P20,C26)</f>
        <v/>
      </c>
      <c r="E26" s="4">
        <f>IF(D26=1,INDEX(H10:H21,MATCH(C26,Scorecard!E20:P20,0)),"")</f>
        <v/>
      </c>
      <c r="F26" s="4">
        <f>IF(D26=1,1,0)</f>
        <v/>
      </c>
    </row>
    <row r="27">
      <c r="A27" s="4" t="n">
        <v>18</v>
      </c>
      <c r="B27" s="4" t="n">
        <v>4</v>
      </c>
      <c r="C27" s="4">
        <f>MIN(Scorecard!E21:P21)</f>
        <v/>
      </c>
      <c r="D27" s="4">
        <f>COUNTIF(Scorecard!E21:P21,C27)</f>
        <v/>
      </c>
      <c r="E27" s="4">
        <f>IF(D27=1,INDEX(H10:H21,MATCH(C27,Scorecard!E21:P21,0)),"")</f>
        <v/>
      </c>
      <c r="F27" s="4">
        <f>IF(D27=1,1,0)</f>
        <v/>
      </c>
    </row>
    <row r="29">
      <c r="A29" s="2" t="inlineStr">
        <is>
          <t>Player</t>
        </is>
      </c>
      <c r="B29" s="2" t="inlineStr">
        <is>
          <t>Skins Won</t>
        </is>
      </c>
      <c r="C29" s="2" t="inlineStr">
        <is>
          <t>Winnings</t>
        </is>
      </c>
      <c r="D29" s="2" t="inlineStr">
        <is>
          <t>Net (after buy-in)</t>
        </is>
      </c>
    </row>
    <row r="30">
      <c r="A30" s="16" t="inlineStr">
        <is>
          <t>Player A1</t>
        </is>
      </c>
      <c r="B30" s="4">
        <f>COUNTIF($E$10:$E$27,A30)</f>
        <v/>
      </c>
      <c r="C30" s="12">
        <f>B30*$B$7</f>
        <v/>
      </c>
      <c r="D30" s="12">
        <f>C30-$B$3</f>
        <v/>
      </c>
    </row>
    <row r="31">
      <c r="A31" s="16" t="inlineStr">
        <is>
          <t>Player A2</t>
        </is>
      </c>
      <c r="B31" s="4">
        <f>COUNTIF($E$10:$E$27,A31)</f>
        <v/>
      </c>
      <c r="C31" s="12">
        <f>B31*$B$7</f>
        <v/>
      </c>
      <c r="D31" s="12">
        <f>C31-$B$3</f>
        <v/>
      </c>
    </row>
    <row r="32">
      <c r="A32" s="16" t="inlineStr">
        <is>
          <t>Player A3</t>
        </is>
      </c>
      <c r="B32" s="4">
        <f>COUNTIF($E$10:$E$27,A32)</f>
        <v/>
      </c>
      <c r="C32" s="12">
        <f>B32*$B$7</f>
        <v/>
      </c>
      <c r="D32" s="12">
        <f>C32-$B$3</f>
        <v/>
      </c>
    </row>
    <row r="33">
      <c r="A33" s="16" t="inlineStr">
        <is>
          <t>Player A4</t>
        </is>
      </c>
      <c r="B33" s="4">
        <f>COUNTIF($E$10:$E$27,A33)</f>
        <v/>
      </c>
      <c r="C33" s="12">
        <f>B33*$B$7</f>
        <v/>
      </c>
      <c r="D33" s="12">
        <f>C33-$B$3</f>
        <v/>
      </c>
    </row>
    <row r="34">
      <c r="A34" s="16" t="inlineStr">
        <is>
          <t>Player B1</t>
        </is>
      </c>
      <c r="B34" s="4">
        <f>COUNTIF($E$10:$E$27,A34)</f>
        <v/>
      </c>
      <c r="C34" s="12">
        <f>B34*$B$7</f>
        <v/>
      </c>
      <c r="D34" s="12">
        <f>C34-$B$3</f>
        <v/>
      </c>
    </row>
    <row r="35">
      <c r="A35" s="16" t="inlineStr">
        <is>
          <t>Player B2</t>
        </is>
      </c>
      <c r="B35" s="4">
        <f>COUNTIF($E$10:$E$27,A35)</f>
        <v/>
      </c>
      <c r="C35" s="12">
        <f>B35*$B$7</f>
        <v/>
      </c>
      <c r="D35" s="12">
        <f>C35-$B$3</f>
        <v/>
      </c>
    </row>
    <row r="36">
      <c r="A36" s="16" t="inlineStr">
        <is>
          <t>Player B3</t>
        </is>
      </c>
      <c r="B36" s="4">
        <f>COUNTIF($E$10:$E$27,A36)</f>
        <v/>
      </c>
      <c r="C36" s="12">
        <f>B36*$B$7</f>
        <v/>
      </c>
      <c r="D36" s="12">
        <f>C36-$B$3</f>
        <v/>
      </c>
    </row>
    <row r="37">
      <c r="A37" s="16" t="inlineStr">
        <is>
          <t>Player B4</t>
        </is>
      </c>
      <c r="B37" s="4">
        <f>COUNTIF($E$10:$E$27,A37)</f>
        <v/>
      </c>
      <c r="C37" s="12">
        <f>B37*$B$7</f>
        <v/>
      </c>
      <c r="D37" s="12">
        <f>C37-$B$3</f>
        <v/>
      </c>
    </row>
    <row r="38">
      <c r="A38" s="16" t="inlineStr">
        <is>
          <t>Player C1</t>
        </is>
      </c>
      <c r="B38" s="4">
        <f>COUNTIF($E$10:$E$27,A38)</f>
        <v/>
      </c>
      <c r="C38" s="12">
        <f>B38*$B$7</f>
        <v/>
      </c>
      <c r="D38" s="12">
        <f>C38-$B$3</f>
        <v/>
      </c>
    </row>
    <row r="39">
      <c r="A39" s="16" t="inlineStr">
        <is>
          <t>Player C2</t>
        </is>
      </c>
      <c r="B39" s="4">
        <f>COUNTIF($E$10:$E$27,A39)</f>
        <v/>
      </c>
      <c r="C39" s="12">
        <f>B39*$B$7</f>
        <v/>
      </c>
      <c r="D39" s="12">
        <f>C39-$B$3</f>
        <v/>
      </c>
    </row>
    <row r="40">
      <c r="A40" s="16" t="inlineStr">
        <is>
          <t>Player C3</t>
        </is>
      </c>
      <c r="B40" s="4">
        <f>COUNTIF($E$10:$E$27,A40)</f>
        <v/>
      </c>
      <c r="C40" s="12">
        <f>B40*$B$7</f>
        <v/>
      </c>
      <c r="D40" s="12">
        <f>C40-$B$3</f>
        <v/>
      </c>
    </row>
    <row r="41">
      <c r="A41" s="16" t="inlineStr">
        <is>
          <t>Player C4</t>
        </is>
      </c>
      <c r="B41" s="4">
        <f>COUNTIF($E$10:$E$27,A41)</f>
        <v/>
      </c>
      <c r="C41" s="12">
        <f>B41*$B$7</f>
        <v/>
      </c>
      <c r="D41" s="12">
        <f>C41-$B$3</f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2026-01-02T14:46:09Z</dcterms:created>
  <dcterms:modified xsi:type="dcterms:W3CDTF">2026-01-02T14:46:09Z</dcterms:modified>
</cp:coreProperties>
</file>